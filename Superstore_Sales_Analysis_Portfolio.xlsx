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olly\Desktop\Data-analysis\"/>
    </mc:Choice>
  </mc:AlternateContent>
  <xr:revisionPtr revIDLastSave="0" documentId="13_ncr:1_{3084F6AA-7AF6-46B6-A151-29C56FD46EE5}" xr6:coauthVersionLast="47" xr6:coauthVersionMax="47" xr10:uidLastSave="{00000000-0000-0000-0000-000000000000}"/>
  <bookViews>
    <workbookView xWindow="-110" yWindow="-110" windowWidth="19420" windowHeight="11020" activeTab="2" xr2:uid="{00000000-000D-0000-FFFF-FFFF00000000}"/>
  </bookViews>
  <sheets>
    <sheet name="Sales Dataset" sheetId="1" r:id="rId1"/>
    <sheet name="ANALYSIS" sheetId="2" r:id="rId2"/>
    <sheet name="DASHBOARD" sheetId="5" r:id="rId3"/>
  </sheets>
  <definedNames>
    <definedName name="_xlchart.v5.0" hidden="1">ANALYSIS!$E$35</definedName>
    <definedName name="_xlchart.v5.1" hidden="1">ANALYSIS!$E$36:$E$41</definedName>
    <definedName name="_xlchart.v5.2" hidden="1">ANALYSIS!$F$35</definedName>
    <definedName name="_xlchart.v5.3" hidden="1">ANALYSIS!$F$36:$F$41</definedName>
    <definedName name="Slicer_Category">#N/A</definedName>
    <definedName name="Slicer_Years">#N/A</definedName>
  </definedNames>
  <calcPr calcId="191029"/>
  <pivotCaches>
    <pivotCache cacheId="1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7" i="2" l="1"/>
  <c r="F38" i="2"/>
  <c r="F39" i="2"/>
  <c r="F40" i="2"/>
  <c r="F41" i="2"/>
  <c r="F36" i="2"/>
</calcChain>
</file>

<file path=xl/sharedStrings.xml><?xml version="1.0" encoding="utf-8"?>
<sst xmlns="http://schemas.openxmlformats.org/spreadsheetml/2006/main" count="9644" uniqueCount="1487">
  <si>
    <t>Order ID</t>
  </si>
  <si>
    <t>Amount</t>
  </si>
  <si>
    <t>Profit</t>
  </si>
  <si>
    <t>Quantity</t>
  </si>
  <si>
    <t>Category</t>
  </si>
  <si>
    <t>Sub-Category</t>
  </si>
  <si>
    <t>PaymentMode</t>
  </si>
  <si>
    <t>Order Date</t>
  </si>
  <si>
    <t>CustomerName</t>
  </si>
  <si>
    <t>State</t>
  </si>
  <si>
    <t>City</t>
  </si>
  <si>
    <t>Year-Month</t>
  </si>
  <si>
    <t>B-26776</t>
  </si>
  <si>
    <t>Electronics</t>
  </si>
  <si>
    <t>Electronic Games</t>
  </si>
  <si>
    <t>UPI</t>
  </si>
  <si>
    <t>David Padilla</t>
  </si>
  <si>
    <t>Florida</t>
  </si>
  <si>
    <t>Miami</t>
  </si>
  <si>
    <t>2023-06</t>
  </si>
  <si>
    <t>Connor Morgan</t>
  </si>
  <si>
    <t>Illinois</t>
  </si>
  <si>
    <t>Chicago</t>
  </si>
  <si>
    <t>2024-12</t>
  </si>
  <si>
    <t>Robert Stone</t>
  </si>
  <si>
    <t>New York</t>
  </si>
  <si>
    <t>Buffalo</t>
  </si>
  <si>
    <t>2021-07</t>
  </si>
  <si>
    <t>Printers</t>
  </si>
  <si>
    <t>B-26942</t>
  </si>
  <si>
    <t>Office Supplies</t>
  </si>
  <si>
    <t>Pens</t>
  </si>
  <si>
    <t>Debit Card</t>
  </si>
  <si>
    <t>John Fields</t>
  </si>
  <si>
    <t>Orlando</t>
  </si>
  <si>
    <t>2024-05</t>
  </si>
  <si>
    <t>Clayton Smith</t>
  </si>
  <si>
    <t>2021-10</t>
  </si>
  <si>
    <t>B-26640</t>
  </si>
  <si>
    <t>Laptops</t>
  </si>
  <si>
    <t>EMI</t>
  </si>
  <si>
    <t>Richard Kelley</t>
  </si>
  <si>
    <t>California</t>
  </si>
  <si>
    <t>Los Angeles</t>
  </si>
  <si>
    <t>2022-11</t>
  </si>
  <si>
    <t>Furniture</t>
  </si>
  <si>
    <t>Tables</t>
  </si>
  <si>
    <t>Credit Card</t>
  </si>
  <si>
    <t>B-25890</t>
  </si>
  <si>
    <t>Chairs</t>
  </si>
  <si>
    <t>Jacqueline Hubbard</t>
  </si>
  <si>
    <t>New York City</t>
  </si>
  <si>
    <t>2023-11</t>
  </si>
  <si>
    <t>B-25102</t>
  </si>
  <si>
    <t>Jessica Anderson</t>
  </si>
  <si>
    <t>2020-03</t>
  </si>
  <si>
    <t>B-25426</t>
  </si>
  <si>
    <t>Markers</t>
  </si>
  <si>
    <t>Mary Taylor</t>
  </si>
  <si>
    <t>2020-05</t>
  </si>
  <si>
    <t>Sofas</t>
  </si>
  <si>
    <t>B-25238</t>
  </si>
  <si>
    <t>Walter Crawford</t>
  </si>
  <si>
    <t>Springfield</t>
  </si>
  <si>
    <t>Paper</t>
  </si>
  <si>
    <t>COD</t>
  </si>
  <si>
    <t>B-25051</t>
  </si>
  <si>
    <t>Lawrence Robinson</t>
  </si>
  <si>
    <t>Rochester</t>
  </si>
  <si>
    <t>B-26510</t>
  </si>
  <si>
    <t>Douglas Pennington</t>
  </si>
  <si>
    <t>Texas</t>
  </si>
  <si>
    <t>Dallas</t>
  </si>
  <si>
    <t>2025-02</t>
  </si>
  <si>
    <t>Ricardo Andrews</t>
  </si>
  <si>
    <t>San Diego</t>
  </si>
  <si>
    <t>2024-01</t>
  </si>
  <si>
    <t>B-25104</t>
  </si>
  <si>
    <t>Binders</t>
  </si>
  <si>
    <t>Paul Raymond</t>
  </si>
  <si>
    <t>2020-11</t>
  </si>
  <si>
    <t>B-25553</t>
  </si>
  <si>
    <t>Phones</t>
  </si>
  <si>
    <t>Karen Johnson</t>
  </si>
  <si>
    <t>B-26703</t>
  </si>
  <si>
    <t>Juan Erickson</t>
  </si>
  <si>
    <t>Austin</t>
  </si>
  <si>
    <t>2022-01</t>
  </si>
  <si>
    <t>B-26232</t>
  </si>
  <si>
    <t>Alexander Reed</t>
  </si>
  <si>
    <t>2021-12</t>
  </si>
  <si>
    <t>Jacqueline Harris</t>
  </si>
  <si>
    <t>San Francisco</t>
  </si>
  <si>
    <t>2023-02</t>
  </si>
  <si>
    <t>B-25394</t>
  </si>
  <si>
    <t>Tyler Park</t>
  </si>
  <si>
    <t>2022-10</t>
  </si>
  <si>
    <t>Richard Wolfe</t>
  </si>
  <si>
    <t>Ohio</t>
  </si>
  <si>
    <t>Columbus</t>
  </si>
  <si>
    <t>B-26157</t>
  </si>
  <si>
    <t>Sierra Rios</t>
  </si>
  <si>
    <t>2023-12</t>
  </si>
  <si>
    <t>B-25555</t>
  </si>
  <si>
    <t>Jessica Richardson</t>
  </si>
  <si>
    <t>2023-07</t>
  </si>
  <si>
    <t>Kimberly Warren</t>
  </si>
  <si>
    <t>Cincinnati</t>
  </si>
  <si>
    <t>2021-05</t>
  </si>
  <si>
    <t>Bookcases</t>
  </si>
  <si>
    <t>B-26139</t>
  </si>
  <si>
    <t>Casey Garcia</t>
  </si>
  <si>
    <t>B-25032</t>
  </si>
  <si>
    <t>Denise Hampton</t>
  </si>
  <si>
    <t>2024-08</t>
  </si>
  <si>
    <t>B-25730</t>
  </si>
  <si>
    <t>Justin Rodriguez</t>
  </si>
  <si>
    <t>Cleveland</t>
  </si>
  <si>
    <t>Ms. Emily Baxter</t>
  </si>
  <si>
    <t>2020-10</t>
  </si>
  <si>
    <t>Austin White</t>
  </si>
  <si>
    <t>2023-08</t>
  </si>
  <si>
    <t>B-26470</t>
  </si>
  <si>
    <t>Morgan Montes</t>
  </si>
  <si>
    <t>Christine Mosley</t>
  </si>
  <si>
    <t>2021-06</t>
  </si>
  <si>
    <t>Ashley Rodriguez</t>
  </si>
  <si>
    <t>2023-05</t>
  </si>
  <si>
    <t>Elizabeth King</t>
  </si>
  <si>
    <t>B-25988</t>
  </si>
  <si>
    <t>Connie Holmes</t>
  </si>
  <si>
    <t>2022-09</t>
  </si>
  <si>
    <t>B-25568</t>
  </si>
  <si>
    <t>Melissa Peck</t>
  </si>
  <si>
    <t>2022-03</t>
  </si>
  <si>
    <t>B-26730</t>
  </si>
  <si>
    <t>David Smith</t>
  </si>
  <si>
    <t>2022-02</t>
  </si>
  <si>
    <t>Houston</t>
  </si>
  <si>
    <t>2021-04</t>
  </si>
  <si>
    <t>B-25372</t>
  </si>
  <si>
    <t>Heather Jenkins</t>
  </si>
  <si>
    <t>B-26026</t>
  </si>
  <si>
    <t>Kelsey Castaneda</t>
  </si>
  <si>
    <t>Katherine Harris</t>
  </si>
  <si>
    <t>2023-04</t>
  </si>
  <si>
    <t>B-25295</t>
  </si>
  <si>
    <t>Paul Rogers</t>
  </si>
  <si>
    <t>B-26121</t>
  </si>
  <si>
    <t>Jon Banks</t>
  </si>
  <si>
    <t>Tampa</t>
  </si>
  <si>
    <t>Michelle Williams</t>
  </si>
  <si>
    <t>2022-12</t>
  </si>
  <si>
    <t>B-25560</t>
  </si>
  <si>
    <t>Andrew Allen</t>
  </si>
  <si>
    <t>B-26076</t>
  </si>
  <si>
    <t>Vanessa Bauer</t>
  </si>
  <si>
    <t>2025-03</t>
  </si>
  <si>
    <t>Sean Smith</t>
  </si>
  <si>
    <t>2024-09</t>
  </si>
  <si>
    <t>B-25872</t>
  </si>
  <si>
    <t>Shelly Sweeney</t>
  </si>
  <si>
    <t>2020-04</t>
  </si>
  <si>
    <t>B-26185</t>
  </si>
  <si>
    <t>Emily Gill</t>
  </si>
  <si>
    <t>2022-06</t>
  </si>
  <si>
    <t>Brian Patrick</t>
  </si>
  <si>
    <t>2021-03</t>
  </si>
  <si>
    <t>Dr. Sarah Booth</t>
  </si>
  <si>
    <t>B-26259</t>
  </si>
  <si>
    <t>Douglas Mcfarland</t>
  </si>
  <si>
    <t>Kayla Ross</t>
  </si>
  <si>
    <t>Peoria</t>
  </si>
  <si>
    <t>B-25142</t>
  </si>
  <si>
    <t>Marc Strickland</t>
  </si>
  <si>
    <t>2021-11</t>
  </si>
  <si>
    <t>B-25326</t>
  </si>
  <si>
    <t>Charlene Brown</t>
  </si>
  <si>
    <t>2021-08</t>
  </si>
  <si>
    <t>Charles Smith</t>
  </si>
  <si>
    <t>2022-05</t>
  </si>
  <si>
    <t>B-26795</t>
  </si>
  <si>
    <t>Karen Townsend</t>
  </si>
  <si>
    <t>B-25660</t>
  </si>
  <si>
    <t>Steven Cox</t>
  </si>
  <si>
    <t>2020-08</t>
  </si>
  <si>
    <t>Cynthia Rodriguez</t>
  </si>
  <si>
    <t>2022-04</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</si>
  <si>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</si>
  <si>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</si>
  <si>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</si>
  <si>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</si>
  <si>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</si>
  <si>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</si>
  <si>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</si>
  <si>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</si>
  <si>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</si>
  <si>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</si>
  <si>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</si>
  <si>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</si>
  <si>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</si>
  <si>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</si>
  <si>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</si>
  <si>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</si>
  <si>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</si>
  <si>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</si>
  <si>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</si>
  <si>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</si>
  <si>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</si>
  <si>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2022-08</t>
  </si>
  <si>
    <t>B-25884</t>
  </si>
  <si>
    <t>Sean Elliott</t>
  </si>
  <si>
    <t>Wanda West</t>
  </si>
  <si>
    <t>B-26287</t>
  </si>
  <si>
    <t>Renee Solomon</t>
  </si>
  <si>
    <t>2024-07</t>
  </si>
  <si>
    <t>B-26564</t>
  </si>
  <si>
    <t>Daryl Miles</t>
  </si>
  <si>
    <t>2024-02</t>
  </si>
  <si>
    <t>B-26293</t>
  </si>
  <si>
    <t>Michael Hunt</t>
  </si>
  <si>
    <t>B-25915</t>
  </si>
  <si>
    <t>Adam Clark</t>
  </si>
  <si>
    <t>Amy Olsen</t>
  </si>
  <si>
    <t>2021-09</t>
  </si>
  <si>
    <t>Stacey Miller</t>
  </si>
  <si>
    <t>B-26496</t>
  </si>
  <si>
    <t>Daniel Mosley</t>
  </si>
  <si>
    <t>B-25856</t>
  </si>
  <si>
    <t>Monica Gibson</t>
  </si>
  <si>
    <t>B-26899</t>
  </si>
  <si>
    <t>Christopher Jordan</t>
  </si>
  <si>
    <t>B-25916</t>
  </si>
  <si>
    <t>Christina Davis</t>
  </si>
  <si>
    <t>Claudia Curry</t>
  </si>
  <si>
    <t>2024-04</t>
  </si>
  <si>
    <t>B-26428</t>
  </si>
  <si>
    <t>Brandon Anderson</t>
  </si>
  <si>
    <t>B-26332</t>
  </si>
  <si>
    <t>George Foster</t>
  </si>
  <si>
    <t>Nicholas Anderson</t>
  </si>
  <si>
    <t>Emily Ellison</t>
  </si>
  <si>
    <t>B-25303</t>
  </si>
  <si>
    <t>Darren Perez</t>
  </si>
  <si>
    <t>Michelle Hunter</t>
  </si>
  <si>
    <t>2023-03</t>
  </si>
  <si>
    <t>B-26507</t>
  </si>
  <si>
    <t>Janet Guerrero</t>
  </si>
  <si>
    <t>B-25983</t>
  </si>
  <si>
    <t>Jeffrey Kline</t>
  </si>
  <si>
    <t>Ryan Bullock</t>
  </si>
  <si>
    <t>B-25156</t>
  </si>
  <si>
    <t>Tom Lawson</t>
  </si>
  <si>
    <t>B-26759</t>
  </si>
  <si>
    <t>Rebecca Smith</t>
  </si>
  <si>
    <t>2024-11</t>
  </si>
  <si>
    <t>B-26244</t>
  </si>
  <si>
    <t>William Welch</t>
  </si>
  <si>
    <t>B-26365</t>
  </si>
  <si>
    <t>Mr. Curtis Bailey</t>
  </si>
  <si>
    <t>B-26212</t>
  </si>
  <si>
    <t>Janet Carlson</t>
  </si>
  <si>
    <t>2024-06</t>
  </si>
  <si>
    <t>B-25042</t>
  </si>
  <si>
    <t>Spencer Spears</t>
  </si>
  <si>
    <t>B-25901</t>
  </si>
  <si>
    <t>Jeffrey Middleton</t>
  </si>
  <si>
    <t>Veronica Kelley</t>
  </si>
  <si>
    <t>Leslie Bean</t>
  </si>
  <si>
    <t>B-26747</t>
  </si>
  <si>
    <t>Amy Wilson</t>
  </si>
  <si>
    <t>B-26698</t>
  </si>
  <si>
    <t>Susan Ramirez</t>
  </si>
  <si>
    <t>2023-09</t>
  </si>
  <si>
    <t>B-25841</t>
  </si>
  <si>
    <t>Jacob Meyer</t>
  </si>
  <si>
    <t>2021-01</t>
  </si>
  <si>
    <t>B-26032</t>
  </si>
  <si>
    <t>Scott Lewis</t>
  </si>
  <si>
    <t>Eric Griffith</t>
  </si>
  <si>
    <t>Anna Ferguson</t>
  </si>
  <si>
    <t>B-25171</t>
  </si>
  <si>
    <t>David Figueroa</t>
  </si>
  <si>
    <t>B-26939</t>
  </si>
  <si>
    <t>Theresa Medina</t>
  </si>
  <si>
    <t>B-26347</t>
  </si>
  <si>
    <t>Mary Smith</t>
  </si>
  <si>
    <t>2020-12</t>
  </si>
  <si>
    <t>Lance Cain</t>
  </si>
  <si>
    <t>B-25388</t>
  </si>
  <si>
    <t>Alexandra Moran</t>
  </si>
  <si>
    <t>Sara Castro</t>
  </si>
  <si>
    <t>2021-02</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</si>
  <si>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</si>
  <si>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</si>
  <si>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</si>
  <si>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</si>
  <si>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</si>
  <si>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</si>
  <si>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</si>
  <si>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</si>
  <si>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</si>
  <si>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</si>
  <si>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</si>
  <si>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</si>
  <si>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</si>
  <si>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</si>
  <si>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</si>
  <si>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2025-01</t>
  </si>
  <si>
    <t>B-25885</t>
  </si>
  <si>
    <t>Dawn Howard</t>
  </si>
  <si>
    <t>B-25004</t>
  </si>
  <si>
    <t>Jennifer Marshall</t>
  </si>
  <si>
    <t>2020-06</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</si>
  <si>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</si>
  <si>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</si>
  <si>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</si>
  <si>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</si>
  <si>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</si>
  <si>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</si>
  <si>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</si>
  <si>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</si>
  <si>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</si>
  <si>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</si>
  <si>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</si>
  <si>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</si>
  <si>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</si>
  <si>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</si>
  <si>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</si>
  <si>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</si>
  <si>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</si>
  <si>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</si>
  <si>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</si>
  <si>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2023-01</t>
  </si>
  <si>
    <t>B-25223</t>
  </si>
  <si>
    <t>Heidi Davis</t>
  </si>
  <si>
    <t>B-25714</t>
  </si>
  <si>
    <t>Charles Lane</t>
  </si>
  <si>
    <t>2024-03</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</si>
  <si>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</si>
  <si>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</si>
  <si>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</si>
  <si>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</si>
  <si>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</si>
  <si>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</si>
  <si>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</si>
  <si>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</si>
  <si>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</si>
  <si>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</si>
  <si>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</si>
  <si>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</si>
  <si>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</si>
  <si>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</si>
  <si>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</si>
  <si>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</si>
  <si>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</si>
  <si>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</si>
  <si>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</si>
  <si>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</si>
  <si>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</si>
  <si>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2024-10</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</si>
  <si>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</si>
  <si>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</si>
  <si>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</si>
  <si>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</si>
  <si>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</si>
  <si>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</si>
  <si>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</si>
  <si>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</si>
  <si>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</si>
  <si>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</si>
  <si>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</si>
  <si>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</si>
  <si>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</si>
  <si>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</si>
  <si>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</si>
  <si>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</si>
  <si>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</si>
  <si>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</si>
  <si>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</si>
  <si>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</si>
  <si>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</si>
  <si>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</si>
  <si>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</si>
  <si>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</si>
  <si>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</si>
  <si>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</si>
  <si>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</si>
  <si>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</si>
  <si>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2020-09</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</si>
  <si>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</si>
  <si>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</si>
  <si>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</si>
  <si>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</si>
  <si>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</si>
  <si>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</si>
  <si>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</si>
  <si>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</si>
  <si>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</si>
  <si>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</si>
  <si>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</si>
  <si>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</si>
  <si>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</si>
  <si>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</si>
  <si>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</si>
  <si>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</si>
  <si>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</si>
  <si>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</si>
  <si>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</si>
  <si>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</si>
  <si>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</si>
  <si>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</si>
  <si>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</si>
  <si>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</si>
  <si>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</si>
  <si>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</si>
  <si>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</si>
  <si>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</si>
  <si>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2022-07</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</si>
  <si>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</si>
  <si>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</si>
  <si>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</si>
  <si>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</si>
  <si>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</si>
  <si>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</si>
  <si>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</si>
  <si>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</si>
  <si>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</si>
  <si>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</si>
  <si>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</si>
  <si>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</si>
  <si>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</si>
  <si>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</si>
  <si>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</si>
  <si>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</si>
  <si>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</si>
  <si>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</si>
  <si>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</si>
  <si>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</si>
  <si>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</si>
  <si>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</si>
  <si>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</si>
  <si>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2023-10</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</si>
  <si>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</si>
  <si>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</si>
  <si>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</si>
  <si>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</si>
  <si>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</si>
  <si>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</si>
  <si>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</si>
  <si>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</si>
  <si>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</si>
  <si>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</si>
  <si>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</si>
  <si>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</si>
  <si>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</si>
  <si>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</si>
  <si>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</si>
  <si>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</si>
  <si>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</si>
  <si>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</si>
  <si>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</si>
  <si>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2020-07</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</si>
  <si>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</si>
  <si>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</si>
  <si>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</si>
  <si>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</si>
  <si>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</si>
  <si>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</si>
  <si>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</si>
  <si>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</si>
  <si>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</si>
  <si>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</si>
  <si>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</si>
  <si>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</si>
  <si>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</si>
  <si>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</si>
  <si>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</si>
  <si>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</si>
  <si>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</si>
  <si>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</si>
  <si>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</si>
  <si>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</si>
  <si>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</si>
  <si>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</si>
  <si>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</si>
  <si>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</si>
  <si>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</si>
  <si>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</si>
  <si>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</si>
  <si>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</si>
  <si>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</si>
  <si>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</si>
  <si>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</si>
  <si>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</si>
  <si>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</si>
  <si>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</si>
  <si>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</si>
  <si>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</si>
  <si>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</si>
  <si>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</si>
  <si>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</si>
  <si>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</si>
  <si>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</si>
  <si>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</si>
  <si>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</si>
  <si>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</si>
  <si>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</si>
  <si>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</si>
  <si>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</si>
  <si>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</si>
  <si>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</si>
  <si>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</si>
  <si>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</si>
  <si>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</si>
  <si>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</si>
  <si>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</si>
  <si>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</si>
  <si>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</si>
  <si>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</si>
  <si>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</si>
  <si>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</si>
  <si>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</si>
  <si>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</si>
  <si>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</si>
  <si>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</si>
  <si>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</si>
  <si>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</si>
  <si>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</si>
  <si>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</si>
  <si>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</si>
  <si>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</si>
  <si>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</si>
  <si>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</si>
  <si>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</si>
  <si>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</si>
  <si>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</si>
  <si>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</si>
  <si>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</si>
  <si>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</si>
  <si>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</si>
  <si>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</si>
  <si>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</si>
  <si>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</si>
  <si>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</si>
  <si>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</si>
  <si>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</si>
  <si>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</si>
  <si>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</si>
  <si>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</si>
  <si>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</si>
  <si>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</si>
  <si>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</si>
  <si>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</si>
  <si>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</si>
  <si>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</si>
  <si>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</si>
  <si>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</si>
  <si>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</si>
  <si>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</si>
  <si>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</si>
  <si>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</si>
  <si>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</si>
  <si>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</si>
  <si>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</si>
  <si>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</si>
  <si>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</si>
  <si>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</si>
  <si>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</si>
  <si>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</si>
  <si>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</si>
  <si>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</si>
  <si>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</si>
  <si>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</si>
  <si>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</si>
  <si>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</si>
  <si>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</si>
  <si>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</si>
  <si>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</si>
  <si>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</si>
  <si>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</si>
  <si>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</si>
  <si>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</si>
  <si>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</si>
  <si>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</si>
  <si>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</si>
  <si>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</si>
  <si>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</si>
  <si>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</si>
  <si>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</si>
  <si>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</si>
  <si>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</si>
  <si>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</si>
  <si>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</si>
  <si>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</si>
  <si>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</si>
  <si>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</si>
  <si>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</si>
  <si>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</si>
  <si>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</si>
  <si>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</si>
  <si>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</si>
  <si>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</si>
  <si>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</si>
  <si>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</si>
  <si>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</si>
  <si>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</si>
  <si>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</si>
  <si>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</si>
  <si>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</si>
  <si>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</si>
  <si>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</si>
  <si>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</si>
  <si>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</si>
  <si>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</si>
  <si>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</si>
  <si>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</si>
  <si>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</si>
  <si>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</si>
  <si>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</si>
  <si>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</si>
  <si>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</si>
  <si>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</si>
  <si>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</si>
  <si>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</si>
  <si>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</si>
  <si>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</si>
  <si>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</si>
  <si>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</si>
  <si>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</si>
  <si>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</si>
  <si>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</si>
  <si>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</si>
  <si>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</si>
  <si>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</si>
  <si>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</si>
  <si>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</si>
  <si>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</si>
  <si>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</si>
  <si>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</si>
  <si>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</si>
  <si>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</si>
  <si>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</si>
  <si>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</si>
  <si>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</si>
  <si>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</si>
  <si>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</si>
  <si>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</si>
  <si>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</si>
  <si>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</si>
  <si>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</si>
  <si>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</si>
  <si>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</si>
  <si>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</si>
  <si>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</si>
  <si>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</si>
  <si>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</si>
  <si>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</si>
  <si>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</si>
  <si>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</si>
  <si>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</si>
  <si>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</si>
  <si>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</si>
  <si>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</si>
  <si>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</si>
  <si>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</si>
  <si>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</si>
  <si>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</si>
  <si>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</si>
  <si>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</si>
  <si>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</si>
  <si>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</si>
  <si>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</si>
  <si>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</si>
  <si>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</si>
  <si>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</si>
  <si>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</si>
  <si>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</si>
  <si>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</si>
  <si>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</si>
  <si>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</si>
  <si>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</si>
  <si>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</si>
  <si>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</si>
  <si>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</si>
  <si>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</si>
  <si>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</si>
  <si>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</si>
  <si>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</si>
  <si>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</si>
  <si>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</si>
  <si>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</si>
  <si>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</si>
  <si>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</si>
  <si>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</si>
  <si>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</si>
  <si>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</si>
  <si>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</si>
  <si>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</si>
  <si>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</si>
  <si>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</si>
  <si>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</si>
  <si>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</si>
  <si>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</si>
  <si>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</si>
  <si>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</si>
  <si>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</si>
  <si>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</si>
  <si>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</si>
  <si>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</si>
  <si>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</si>
  <si>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</si>
  <si>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</si>
  <si>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</si>
  <si>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</si>
  <si>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</si>
  <si>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</si>
  <si>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</si>
  <si>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</si>
  <si>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</si>
  <si>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</si>
  <si>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</si>
  <si>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</si>
  <si>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</si>
  <si>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</si>
  <si>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</si>
  <si>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</si>
  <si>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</si>
  <si>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</si>
  <si>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</si>
  <si>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</si>
  <si>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</si>
  <si>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</si>
  <si>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</si>
  <si>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</si>
  <si>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</si>
  <si>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</si>
  <si>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</si>
  <si>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</si>
  <si>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</si>
  <si>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</si>
  <si>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</si>
  <si>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</si>
  <si>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</si>
  <si>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</si>
  <si>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</si>
  <si>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</si>
  <si>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</si>
  <si>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</si>
  <si>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</si>
  <si>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</si>
  <si>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</si>
  <si>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</si>
  <si>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</si>
  <si>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</si>
  <si>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</si>
  <si>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</si>
  <si>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</si>
  <si>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</si>
  <si>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</si>
  <si>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</si>
  <si>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</si>
  <si>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</si>
  <si>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</si>
  <si>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</si>
  <si>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</si>
  <si>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</si>
  <si>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</si>
  <si>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</si>
  <si>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</si>
  <si>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</si>
  <si>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</si>
  <si>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</si>
  <si>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</si>
  <si>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</si>
  <si>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</si>
  <si>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</si>
  <si>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</si>
  <si>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</si>
  <si>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</si>
  <si>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</si>
  <si>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</si>
  <si>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</si>
  <si>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</si>
  <si>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</si>
  <si>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</si>
  <si>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</si>
  <si>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</si>
  <si>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</si>
  <si>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</si>
  <si>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</si>
  <si>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</si>
  <si>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</si>
  <si>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</si>
  <si>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</si>
  <si>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</si>
  <si>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</si>
  <si>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</si>
  <si>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</si>
  <si>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</si>
  <si>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</si>
  <si>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</si>
  <si>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</si>
  <si>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</si>
  <si>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</si>
  <si>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</si>
  <si>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</si>
  <si>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</si>
  <si>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</si>
  <si>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</si>
  <si>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</si>
  <si>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</si>
  <si>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</si>
  <si>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</si>
  <si>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</si>
  <si>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</si>
  <si>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</si>
  <si>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</si>
  <si>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</si>
  <si>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</si>
  <si>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</si>
  <si>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</si>
  <si>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</si>
  <si>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</si>
  <si>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</si>
  <si>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</si>
  <si>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</si>
  <si>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</si>
  <si>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</si>
  <si>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</si>
  <si>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</si>
  <si>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</si>
  <si>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</si>
  <si>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</si>
  <si>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</si>
  <si>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</si>
  <si>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</si>
  <si>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</si>
  <si>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</si>
  <si>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</si>
  <si>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</si>
  <si>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</si>
  <si>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</si>
  <si>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</si>
  <si>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</si>
  <si>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</si>
  <si>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</si>
  <si>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</si>
  <si>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</si>
  <si>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</si>
  <si>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</si>
  <si>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</si>
  <si>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</si>
  <si>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</si>
  <si>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</si>
  <si>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</si>
  <si>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</si>
  <si>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</si>
  <si>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</si>
  <si>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</si>
  <si>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</si>
  <si>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</si>
  <si>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</si>
  <si>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</si>
  <si>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</si>
  <si>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</si>
  <si>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</si>
  <si>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</si>
  <si>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</si>
  <si>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</si>
  <si>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</si>
  <si>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</si>
  <si>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</si>
  <si>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</si>
  <si>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</si>
  <si>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</si>
  <si>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</si>
  <si>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</si>
  <si>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</si>
  <si>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</si>
  <si>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</si>
  <si>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</si>
  <si>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</si>
  <si>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</si>
  <si>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</si>
  <si>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</si>
  <si>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</si>
  <si>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</si>
  <si>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</si>
  <si>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</si>
  <si>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</si>
  <si>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</si>
  <si>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</si>
  <si>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</si>
  <si>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</si>
  <si>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</si>
  <si>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</si>
  <si>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</si>
  <si>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</si>
  <si>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</si>
  <si>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</si>
  <si>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</si>
  <si>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</si>
  <si>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</si>
  <si>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</si>
  <si>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</si>
  <si>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</si>
  <si>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</si>
  <si>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</si>
  <si>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</si>
  <si>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</si>
  <si>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</si>
  <si>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</si>
  <si>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</si>
  <si>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</si>
  <si>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</si>
  <si>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</si>
  <si>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</si>
  <si>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</si>
  <si>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</si>
  <si>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</si>
  <si>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</si>
  <si>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</si>
  <si>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</si>
  <si>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</si>
  <si>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</si>
  <si>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</si>
  <si>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</si>
  <si>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</si>
  <si>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</si>
  <si>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</si>
  <si>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</si>
  <si>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</si>
  <si>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</si>
  <si>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</si>
  <si>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</si>
  <si>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</si>
  <si>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</si>
  <si>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</si>
  <si>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</si>
  <si>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</si>
  <si>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</si>
  <si>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</si>
  <si>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</si>
  <si>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</si>
  <si>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</si>
  <si>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</si>
  <si>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</si>
  <si>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</si>
  <si>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</si>
  <si>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</si>
  <si>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</si>
  <si>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</si>
  <si>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</si>
  <si>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</si>
  <si>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</si>
  <si>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</si>
  <si>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</si>
  <si>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</si>
  <si>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</si>
  <si>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</si>
  <si>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</si>
  <si>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</si>
  <si>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</si>
  <si>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</si>
  <si>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</si>
  <si>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</si>
  <si>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</si>
  <si>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</si>
  <si>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</si>
  <si>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</si>
  <si>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</si>
  <si>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</si>
  <si>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</si>
  <si>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</si>
  <si>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</si>
  <si>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</si>
  <si>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</si>
  <si>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</si>
  <si>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</si>
  <si>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</si>
  <si>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</si>
  <si>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</si>
  <si>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</si>
  <si>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</si>
  <si>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</si>
  <si>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</si>
  <si>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</si>
  <si>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</si>
  <si>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</si>
  <si>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</si>
  <si>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</si>
  <si>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</si>
  <si>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</si>
  <si>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</si>
  <si>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</si>
  <si>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</si>
  <si>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</si>
  <si>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</si>
  <si>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</si>
  <si>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</si>
  <si>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</si>
  <si>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</si>
  <si>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</si>
  <si>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</si>
  <si>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</si>
  <si>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</si>
  <si>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</si>
  <si>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</si>
  <si>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</si>
  <si>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</si>
  <si>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</si>
  <si>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</si>
  <si>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</si>
  <si>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</si>
  <si>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</si>
  <si>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</si>
  <si>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</si>
  <si>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</si>
  <si>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</si>
  <si>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</si>
  <si>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</si>
  <si>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</si>
  <si>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</si>
  <si>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</si>
  <si>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</si>
  <si>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</si>
  <si>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</si>
  <si>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</si>
  <si>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</si>
  <si>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</si>
  <si>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</si>
  <si>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</si>
  <si>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</si>
  <si>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</si>
  <si>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</si>
  <si>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</si>
  <si>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</si>
  <si>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</si>
  <si>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</si>
  <si>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</si>
  <si>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</si>
  <si>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</si>
  <si>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</si>
  <si>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</si>
  <si>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</si>
  <si>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</si>
  <si>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</si>
  <si>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</si>
  <si>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</si>
  <si>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</si>
  <si>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</si>
  <si>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</si>
  <si>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</si>
  <si>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</si>
  <si>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</si>
  <si>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</si>
  <si>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</si>
  <si>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</si>
  <si>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</si>
  <si>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</si>
  <si>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</si>
  <si>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</si>
  <si>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</si>
  <si>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</si>
  <si>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</si>
  <si>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</si>
  <si>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</si>
  <si>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</si>
  <si>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</si>
  <si>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</si>
  <si>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</si>
  <si>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</si>
  <si>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</si>
  <si>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</si>
  <si>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</si>
  <si>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</si>
  <si>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</si>
  <si>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</si>
  <si>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</si>
  <si>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</si>
  <si>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</si>
  <si>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</si>
  <si>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</si>
  <si>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</si>
  <si>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</si>
  <si>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</si>
  <si>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</si>
  <si>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</si>
  <si>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</si>
  <si>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</si>
  <si>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</si>
  <si>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</si>
  <si>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</si>
  <si>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</si>
  <si>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</si>
  <si>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</si>
  <si>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</si>
  <si>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</si>
  <si>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</si>
  <si>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</si>
  <si>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</si>
  <si>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</si>
  <si>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</si>
  <si>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</si>
  <si>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</si>
  <si>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</si>
  <si>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</si>
  <si>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</si>
  <si>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</si>
  <si>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</si>
  <si>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</si>
  <si>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</si>
  <si>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</si>
  <si>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</si>
  <si>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</si>
  <si>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</si>
  <si>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</si>
  <si>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</si>
  <si>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</si>
  <si>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</si>
  <si>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</si>
  <si>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</si>
  <si>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</si>
  <si>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</si>
  <si>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</si>
  <si>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</si>
  <si>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</si>
  <si>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</si>
  <si>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</si>
  <si>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</si>
  <si>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</si>
  <si>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</si>
  <si>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</si>
  <si>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</si>
  <si>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</si>
  <si>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</si>
  <si>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</si>
  <si>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</si>
  <si>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</si>
  <si>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</si>
  <si>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</si>
  <si>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</si>
  <si>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</si>
  <si>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</si>
  <si>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</si>
  <si>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</si>
  <si>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</si>
  <si>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</si>
  <si>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</si>
  <si>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</si>
  <si>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</si>
  <si>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</si>
  <si>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</si>
  <si>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</si>
  <si>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</si>
  <si>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</si>
  <si>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</si>
  <si>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</si>
  <si>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</si>
  <si>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</si>
  <si>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</si>
  <si>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</si>
  <si>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</si>
  <si>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</si>
  <si>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</si>
  <si>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</si>
  <si>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</si>
  <si>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</si>
  <si>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</si>
  <si>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</si>
  <si>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</si>
  <si>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</si>
  <si>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</si>
  <si>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</si>
  <si>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</si>
  <si>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</si>
  <si>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</si>
  <si>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</si>
  <si>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</si>
  <si>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</si>
  <si>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</si>
  <si>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</si>
  <si>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</si>
  <si>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</si>
  <si>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</si>
  <si>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</si>
  <si>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</si>
  <si>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</si>
  <si>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</si>
  <si>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</si>
  <si>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</si>
  <si>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</si>
  <si>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</si>
  <si>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</si>
  <si>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</si>
  <si>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</si>
  <si>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</si>
  <si>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</si>
  <si>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</si>
  <si>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</si>
  <si>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</si>
  <si>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</si>
  <si>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</si>
  <si>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</si>
  <si>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</si>
  <si>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</si>
  <si>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</si>
  <si>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</si>
  <si>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</si>
  <si>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</si>
  <si>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</si>
  <si>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</si>
  <si>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</si>
  <si>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</si>
  <si>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</si>
  <si>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</si>
  <si>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</si>
  <si>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</si>
  <si>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</si>
  <si>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</si>
  <si>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</si>
  <si>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</si>
  <si>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</si>
  <si>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</si>
  <si>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</si>
  <si>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</si>
  <si>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</si>
  <si>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</si>
  <si>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</si>
  <si>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</si>
  <si>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</si>
  <si>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</si>
  <si>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</si>
  <si>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</si>
  <si>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</si>
  <si>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</si>
  <si>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</si>
  <si>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</si>
  <si>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</si>
  <si>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</si>
  <si>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</si>
  <si>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</si>
  <si>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</si>
  <si>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</si>
  <si>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</si>
  <si>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</si>
  <si>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</si>
  <si>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</si>
  <si>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</si>
  <si>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</si>
  <si>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</si>
  <si>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</si>
  <si>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</si>
  <si>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</si>
  <si>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</si>
  <si>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</si>
  <si>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</si>
  <si>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</si>
  <si>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</si>
  <si>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</si>
  <si>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</si>
  <si>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</si>
  <si>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</si>
  <si>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</si>
  <si>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</si>
  <si>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</si>
  <si>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</si>
  <si>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</si>
  <si>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</si>
  <si>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</si>
  <si>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</si>
  <si>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</si>
  <si>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</si>
  <si>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</si>
  <si>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</si>
  <si>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</si>
  <si>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</si>
  <si>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</si>
  <si>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</si>
  <si>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</si>
  <si>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</si>
  <si>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</si>
  <si>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</si>
  <si>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</si>
  <si>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</si>
  <si>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</si>
  <si>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</si>
  <si>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</si>
  <si>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</si>
  <si>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</si>
  <si>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</si>
  <si>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</si>
  <si>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</si>
  <si>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</si>
  <si>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</si>
  <si>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</si>
  <si>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</si>
  <si>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</si>
  <si>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</si>
  <si>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</si>
  <si>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</si>
  <si>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</si>
  <si>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</si>
  <si>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</si>
  <si>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</si>
  <si>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</si>
  <si>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</si>
  <si>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</si>
  <si>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</si>
  <si>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</si>
  <si>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</si>
  <si>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</si>
  <si>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</si>
  <si>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</si>
  <si>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</si>
  <si>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</si>
  <si>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</si>
  <si>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</si>
  <si>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</si>
  <si>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</si>
  <si>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</si>
  <si>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</si>
  <si>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</si>
  <si>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</si>
  <si>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</si>
  <si>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</si>
  <si>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</si>
  <si>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</si>
  <si>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</si>
  <si>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</si>
  <si>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</si>
  <si>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</si>
  <si>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</si>
  <si>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</si>
  <si>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</si>
  <si>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</si>
  <si>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</si>
  <si>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</si>
  <si>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</si>
  <si>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</si>
  <si>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</si>
  <si>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</si>
  <si>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</si>
  <si>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</si>
  <si>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</si>
  <si>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</si>
  <si>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</si>
  <si>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</si>
  <si>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</si>
  <si>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</si>
  <si>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</si>
  <si>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</si>
  <si>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</si>
  <si>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</si>
  <si>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</si>
  <si>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</si>
  <si>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</si>
  <si>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</si>
  <si>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</si>
  <si>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</si>
  <si>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</si>
  <si>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</si>
  <si>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</si>
  <si>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</si>
  <si>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</si>
  <si>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</si>
  <si>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</si>
  <si>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</si>
  <si>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</si>
  <si>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</si>
  <si>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</si>
  <si>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</si>
  <si>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</si>
  <si>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</si>
  <si>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</si>
  <si>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</si>
  <si>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</si>
  <si>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</si>
  <si>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</si>
  <si>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</si>
  <si>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</si>
  <si>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</si>
  <si>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</si>
  <si>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</si>
  <si>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</si>
  <si>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</si>
  <si>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</si>
  <si>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</si>
  <si>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</si>
  <si>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</si>
  <si>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</si>
  <si>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</si>
  <si>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</si>
  <si>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</si>
  <si>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</si>
  <si>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</si>
  <si>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</si>
  <si>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</si>
  <si>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</si>
  <si>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</si>
  <si>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</si>
  <si>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</si>
  <si>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</si>
  <si>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</si>
  <si>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</si>
  <si>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</si>
  <si>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</si>
  <si>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</si>
  <si>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</si>
  <si>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</si>
  <si>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</si>
  <si>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</si>
  <si>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</si>
  <si>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</si>
  <si>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</si>
  <si>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</si>
  <si>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</si>
  <si>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</si>
  <si>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</si>
  <si>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</si>
  <si>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</si>
  <si>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</si>
  <si>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</si>
  <si>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</si>
  <si>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</si>
  <si>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</si>
  <si>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</si>
  <si>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</si>
  <si>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</si>
  <si>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</si>
  <si>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</si>
  <si>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</si>
  <si>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</si>
  <si>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</si>
  <si>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</si>
  <si>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</si>
  <si>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</si>
  <si>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</si>
  <si>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</si>
  <si>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</si>
  <si>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</si>
  <si>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</si>
  <si>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</si>
  <si>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</si>
  <si>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</si>
  <si>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</si>
  <si>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</si>
  <si>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</si>
  <si>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</si>
  <si>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</si>
  <si>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</si>
  <si>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</si>
  <si>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</si>
  <si>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</si>
  <si>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</si>
  <si>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</si>
  <si>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</si>
  <si>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</si>
  <si>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</si>
  <si>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</si>
  <si>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</si>
  <si>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</si>
  <si>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</si>
  <si>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</si>
  <si>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</si>
  <si>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Count of CustomerName</t>
  </si>
  <si>
    <t>Sum of Quantity</t>
  </si>
  <si>
    <t>Sum of Amount</t>
  </si>
  <si>
    <t>Sum of Profit</t>
  </si>
  <si>
    <t>Row Labels</t>
  </si>
  <si>
    <t>Grand Total</t>
  </si>
  <si>
    <t>Mar</t>
  </si>
  <si>
    <t>Apr</t>
  </si>
  <si>
    <t>May</t>
  </si>
  <si>
    <t>Jun</t>
  </si>
  <si>
    <t>Jul</t>
  </si>
  <si>
    <t>Aug</t>
  </si>
  <si>
    <t>Sep</t>
  </si>
  <si>
    <t>Oct</t>
  </si>
  <si>
    <t>Nov</t>
  </si>
  <si>
    <t>Dec</t>
  </si>
  <si>
    <t>Jan</t>
  </si>
  <si>
    <t>Feb</t>
  </si>
  <si>
    <t>T</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</si>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</sst>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 #,##0_);_(* \(#,##0\);_(* &quot;-&quot;??_);_(@_)"/>
    <numFmt numFmtId="165" formatCode="_(&quot;$&quot;* #,##0_);_(&quot;$&quot;* \(#,##0\);_(&quot;$&quot;*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9" tint="0.39997558519241921"/>
      <name val="Calibri"/>
      <family val="2"/>
      <scheme val="minor"/>
    </font>
    <font>
      <sz val="11"/>
      <color rgb="FF00B0F0"/>
      <name val="Calibri"/>
      <family val="2"/>
      <scheme val="minor"/>
    </font>
    <font>
      <sz val="11"/>
      <color theme="5" tint="0.59999389629810485"/>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5">
    <xf numFmtId="0" fontId="0" fillId="0" borderId="0" xfId="0"/>
    <xf numFmtId="164" fontId="0" fillId="0" borderId="0" xfId="0" applyNumberFormat="1"/>
    <xf numFmtId="165" fontId="0" fillId="0" borderId="0" xfId="0" applyNumberFormat="1"/>
    <xf numFmtId="165" fontId="0" fillId="0" borderId="0" xfId="0" pivotButton="1" applyNumberFormat="1"/>
    <xf numFmtId="0" fontId="0" fillId="0" borderId="0" xfId="0" pivotButton="1"/>
    <xf numFmtId="14" fontId="0" fillId="0" borderId="0" xfId="0" applyNumberFormat="1" applyAlignment="1">
      <alignment horizontal="left"/>
    </xf>
    <xf numFmtId="165" fontId="0" fillId="0" borderId="0" xfId="0" applyNumberFormat="1" applyAlignment="1">
      <alignment horizontal="left"/>
    </xf>
    <xf numFmtId="0" fontId="0" fillId="0" borderId="0" xfId="0" applyAlignment="1">
      <alignment horizontal="left"/>
    </xf>
    <xf numFmtId="10" fontId="0" fillId="0" borderId="0" xfId="0" applyNumberFormat="1"/>
    <xf numFmtId="165" fontId="0" fillId="0" borderId="0" xfId="42" applyNumberFormat="1" applyFont="1"/>
    <xf numFmtId="0" fontId="14" fillId="0" borderId="0" xfId="0" applyFont="1"/>
    <xf numFmtId="0" fontId="18" fillId="0" borderId="0" xfId="0" applyFont="1"/>
    <xf numFmtId="0" fontId="19" fillId="0" borderId="0" xfId="0" applyFont="1"/>
    <xf numFmtId="14" fontId="19" fillId="0" borderId="0" xfId="0" applyNumberFormat="1" applyFont="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72">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4" formatCode="0.00%"/>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4" formatCode="0.00%"/>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4" formatCode="0.00%"/>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4" formatCode="0.00%"/>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4" formatCode="0.00%"/>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4" formatCode="0.00%"/>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4" formatCode="0.00%"/>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4" formatCode="0.00%"/>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4" formatCode="0.00%"/>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4" formatCode="0.00%"/>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4" formatCode="0.00%"/>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_(&quot;$&quot;* #,##0.0_);_(&quot;$&quot;* \(#,##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6" formatCode="_(&quot;$&quot;* #,##0.0_);_(&quot;$&quot;* \(#,##0.0\);_(&quot;$&quot;* &quot;-&quot;??_);_(@_)"/>
    </dxf>
    <dxf>
      <numFmt numFmtId="34" formatCode="_(&quot;$&quot;* #,##0.00_);_(&quot;$&quot;* \(#,##0.00\);_(&quot;$&quot;* &quot;-&quot;??_);_(@_)"/>
    </dxf>
    <dxf>
      <numFmt numFmtId="165" formatCode="_(&quot;$&quot;* #,##0_);_(&quot;$&quot;* \(#,##0\);_(&quot;$&quot;* &quot;-&quot;??_);_(@_)"/>
    </dxf>
    <dxf>
      <numFmt numFmtId="165" formatCode="_(&quot;$&quot;* #,##0_);_(&quot;$&quot;* \(#,##0\);_(&quot;$&quot;* &quot;-&quot;??_);_(@_)"/>
    </dxf>
    <dxf>
      <numFmt numFmtId="34" formatCode="_(&quot;$&quot;* #,##0.00_);_(&quot;$&quot;* \(#,##0.00\);_(&quot;$&quot;* &quot;-&quot;??_);_(@_)"/>
    </dxf>
    <dxf>
      <numFmt numFmtId="34" formatCode="_(&quot;$&quot;* #,##0.00_);_(&quot;$&quot;* \(#,##0.00\);_(&quot;$&quot;* &quot;-&quot;??_);_(@_)"/>
    </dxf>
    <dxf>
      <numFmt numFmtId="165" formatCode="_(&quot;$&quot;* #,##0_);_(&quot;$&quot;* \(#,##0\);_(&quot;$&quot;* &quot;-&quot;??_);_(@_)"/>
    </dxf>
    <dxf>
      <numFmt numFmtId="165" formatCode="_(&quot;$&quot;* #,##0_);_(&quot;$&quot;* \(#,##0\);_(&quot;$&quot;* &quot;-&quot;??_);_(@_)"/>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4" formatCode="0.00%"/>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4" formatCode="0.00%"/>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4" formatCode="0.00%"/>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4" formatCode="0.00%"/>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4" formatCode="0.00%"/>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font>
        <strike val="0"/>
        <outline val="0"/>
        <shadow val="0"/>
        <u val="none"/>
        <vertAlign val="baseline"/>
        <sz val="11"/>
        <color rgb="FF00B0F0"/>
        <name val="Calibri"/>
        <family val="2"/>
        <scheme val="minor"/>
      </font>
    </dxf>
    <dxf>
      <font>
        <strike val="0"/>
        <outline val="0"/>
        <shadow val="0"/>
        <u val="none"/>
        <vertAlign val="baseline"/>
        <sz val="11"/>
        <color theme="5" tint="0.59999389629810485"/>
        <name val="Calibri"/>
        <family val="2"/>
        <scheme val="minor"/>
      </font>
    </dxf>
    <dxf>
      <font>
        <strike val="0"/>
        <outline val="0"/>
        <shadow val="0"/>
        <u val="none"/>
        <vertAlign val="baseline"/>
        <sz val="11"/>
        <color rgb="FF00B0F0"/>
        <name val="Calibri"/>
        <family val="2"/>
        <scheme val="minor"/>
      </font>
      <numFmt numFmtId="19" formatCode="m/d/yyyy"/>
    </dxf>
    <dxf>
      <font>
        <strike val="0"/>
        <outline val="0"/>
        <shadow val="0"/>
        <u val="none"/>
        <vertAlign val="baseline"/>
        <sz val="11"/>
        <color theme="9" tint="0.39997558519241921"/>
        <name val="Calibri"/>
        <family val="2"/>
        <scheme val="minor"/>
      </font>
    </dxf>
    <dxf>
      <font>
        <strike val="0"/>
        <outline val="0"/>
        <shadow val="0"/>
        <u val="none"/>
        <vertAlign val="baseline"/>
        <sz val="11"/>
        <color theme="9" tint="0.39997558519241921"/>
        <name val="Calibri"/>
        <family val="2"/>
        <scheme val="minor"/>
      </font>
    </dxf>
    <dxf>
      <font>
        <strike val="0"/>
        <outline val="0"/>
        <shadow val="0"/>
        <u val="none"/>
        <vertAlign val="baseline"/>
        <sz val="11"/>
        <color rgb="FFFF0000"/>
        <name val="Calibri"/>
        <family val="2"/>
        <scheme val="minor"/>
      </font>
    </dxf>
    <dxf>
      <font>
        <strike val="0"/>
        <outline val="0"/>
        <shadow val="0"/>
        <u val="none"/>
        <vertAlign val="baseline"/>
        <sz val="11"/>
        <color rgb="FFFF0000"/>
        <name val="Calibri"/>
        <family val="2"/>
        <scheme val="minor"/>
      </font>
    </dxf>
    <dxf>
      <font>
        <strike val="0"/>
        <outline val="0"/>
        <shadow val="0"/>
        <u val="none"/>
        <vertAlign val="baseline"/>
        <sz val="11"/>
        <color rgb="FFFF0000"/>
        <name val="Calibri"/>
        <family val="2"/>
        <scheme val="minor"/>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[Superstore_Sales_Analysis_Portfolio.xlsx]ANALYSIS!PivotTable5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1"/>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ANALYSIS!$B$8</c:f>
              <c:strCache>
                <c:ptCount val="1"/>
                <c:pt idx="0">
                  <c:v>Sum of Amount</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ANALYSIS!$B$9:$B$21</c:f>
              <c:numCache>
                <c:formatCode>_("$"* #,##0_);_("$"* \(#,##0\);_("$"* "-"??_);_(@_)</c:formatCode>
                <c:ptCount val="12"/>
                <c:pt idx="0">
                  <c:v>392678</c:v>
                </c:pt>
                <c:pt idx="1">
                  <c:v>450672</c:v>
                </c:pt>
                <c:pt idx="2">
                  <c:v>497247</c:v>
                </c:pt>
                <c:pt idx="3">
                  <c:v>567882</c:v>
                </c:pt>
                <c:pt idx="4">
                  <c:v>581943</c:v>
                </c:pt>
                <c:pt idx="5">
                  <c:v>529028</c:v>
                </c:pt>
                <c:pt idx="6">
                  <c:v>497410</c:v>
                </c:pt>
                <c:pt idx="7">
                  <c:v>517830</c:v>
                </c:pt>
                <c:pt idx="8">
                  <c:v>408236</c:v>
                </c:pt>
                <c:pt idx="9">
                  <c:v>632521</c:v>
                </c:pt>
                <c:pt idx="10">
                  <c:v>451814</c:v>
                </c:pt>
                <c:pt idx="11">
                  <c:v>655378</c:v>
                </c:pt>
              </c:numCache>
            </c:numRef>
          </c:val>
          <c:smooth val="0"/>
          <c:extLst>
            <c:ext xmlns:c16="http://schemas.microsoft.com/office/drawing/2014/chart" uri="{C3380CC4-5D6E-409C-BE32-E72D297353CC}">
              <c16:uniqueId val="{00000000-1B0C-4446-AE11-38827D356FAF}"/>
            </c:ext>
          </c:extLst>
        </c:ser>
        <c:ser>
          <c:idx val="1"/>
          <c:order val="1"/>
          <c:tx>
            <c:strRef>
              <c:f>ANALYSIS!$C$8</c:f>
              <c:strCache>
                <c:ptCount val="1"/>
                <c:pt idx="0">
                  <c:v>Sum of Profit</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ANALYSIS!$C$9:$C$21</c:f>
              <c:numCache>
                <c:formatCode>_("$"* #,##0_);_("$"* \(#,##0\);_("$"* "-"??_);_(@_)</c:formatCode>
                <c:ptCount val="12"/>
                <c:pt idx="0">
                  <c:v>110381</c:v>
                </c:pt>
                <c:pt idx="1">
                  <c:v>118941</c:v>
                </c:pt>
                <c:pt idx="2">
                  <c:v>152739</c:v>
                </c:pt>
                <c:pt idx="3">
                  <c:v>139373</c:v>
                </c:pt>
                <c:pt idx="4">
                  <c:v>129629</c:v>
                </c:pt>
                <c:pt idx="5">
                  <c:v>141845</c:v>
                </c:pt>
                <c:pt idx="6">
                  <c:v>132117</c:v>
                </c:pt>
                <c:pt idx="7">
                  <c:v>143289</c:v>
                </c:pt>
                <c:pt idx="8">
                  <c:v>111244</c:v>
                </c:pt>
                <c:pt idx="9">
                  <c:v>155154</c:v>
                </c:pt>
                <c:pt idx="10">
                  <c:v>116169</c:v>
                </c:pt>
                <c:pt idx="11">
                  <c:v>159816</c:v>
                </c:pt>
              </c:numCache>
            </c:numRef>
          </c:val>
          <c:smooth val="0"/>
          <c:extLst>
            <c:ext xmlns:c16="http://schemas.microsoft.com/office/drawing/2014/chart" uri="{C3380CC4-5D6E-409C-BE32-E72D297353CC}">
              <c16:uniqueId val="{00000000-1F09-4C9C-B060-8CA56456797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85305328"/>
        <c:axId val="685304368"/>
      </c:lineChart>
      <c:catAx>
        <c:axId val="68530532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lt1"/>
                </a:solidFill>
                <a:latin typeface="+mn-lt"/>
                <a:ea typeface="+mn-ea"/>
                <a:cs typeface="+mn-cs"/>
              </a:defRPr>
            </a:pPr>
            <a:endParaRPr lang="en-US"/>
          </a:p>
        </c:txPr>
        <c:crossAx val="685304368"/>
        <c:crosses val="autoZero"/>
        <c:auto val="1"/>
        <c:lblAlgn val="ctr"/>
        <c:lblOffset val="100"/>
        <c:noMultiLvlLbl val="0"/>
      </c:catAx>
      <c:valAx>
        <c:axId val="68530436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68530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[Superstore_Sales_Analysis_Portfolio.xlsx]ANALYSIS!PivotTable10</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ANALYSIS!$H$18:$H$28</c:f>
              <c:strCache>
                <c:ptCount val="10"/>
                <c:pt idx="0">
                  <c:v>Tammy Bell</c:v>
                </c:pt>
                <c:pt idx="1">
                  <c:v>Michael Rodriguez</c:v>
                </c:pt>
                <c:pt idx="2">
                  <c:v>Jean Jackson</c:v>
                </c:pt>
                <c:pt idx="3">
                  <c:v>Cory Evans</c:v>
                </c:pt>
                <c:pt idx="4">
                  <c:v>Jacqueline Harris</c:v>
                </c:pt>
                <c:pt idx="5">
                  <c:v>Kelly Smith</c:v>
                </c:pt>
                <c:pt idx="6">
                  <c:v>Sabrina Hartman</c:v>
                </c:pt>
                <c:pt idx="7">
                  <c:v>Megan Williams</c:v>
                </c:pt>
                <c:pt idx="8">
                  <c:v>Daniel Mosley</c:v>
                </c:pt>
                <c:pt idx="9">
                  <c:v>Elizabeth Gonzalez</c:v>
                </c:pt>
              </c:strCache>
            </c:strRef>
          </c:cat>
          <c:val>
            <c:numRef>
              <c:f>ANALYSIS!$I$18:$I$28</c:f>
              <c:numCache>
                <c:formatCode>_(* #,##0_);_(* \(#,##0\);_(* "-"??_);_(@_)</c:formatCode>
                <c:ptCount val="10"/>
                <c:pt idx="0">
                  <c:v>47</c:v>
                </c:pt>
                <c:pt idx="1">
                  <c:v>47</c:v>
                </c:pt>
                <c:pt idx="2">
                  <c:v>48</c:v>
                </c:pt>
                <c:pt idx="3">
                  <c:v>50</c:v>
                </c:pt>
                <c:pt idx="4">
                  <c:v>52</c:v>
                </c:pt>
                <c:pt idx="5">
                  <c:v>54</c:v>
                </c:pt>
                <c:pt idx="6">
                  <c:v>54</c:v>
                </c:pt>
                <c:pt idx="7">
                  <c:v>56</c:v>
                </c:pt>
                <c:pt idx="8">
                  <c:v>57</c:v>
                </c:pt>
                <c:pt idx="9">
                  <c:v>57</c:v>
                </c:pt>
              </c:numCache>
            </c:numRef>
          </c:val>
          <c:extLst>
            <c:ext xmlns:c16="http://schemas.microsoft.com/office/drawing/2014/chart" uri="{C3380CC4-5D6E-409C-BE32-E72D297353CC}">
              <c16:uniqueId val="{00000000-D6A3-4EFB-81FD-BE023D1F319E}"/>
            </c:ext>
          </c:extLst>
        </c:ser>
        <c:dLbls>
          <c:dLblPos val="outEnd"/>
          <c:showLegendKey val="0"/>
          <c:showVal val="1"/>
          <c:showCatName val="0"/>
          <c:showSerName val="0"/>
          <c:showPercent val="0"/>
          <c:showBubbleSize val="0"/>
        </c:dLbls>
        <c:gapWidth val="182"/>
        <c:axId val="688425776"/>
        <c:axId val="688422416"/>
      </c:barChart>
      <c:catAx>
        <c:axId val="68842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8422416"/>
        <c:crosses val="autoZero"/>
        <c:auto val="1"/>
        <c:lblAlgn val="ctr"/>
        <c:lblOffset val="100"/>
        <c:noMultiLvlLbl val="0"/>
      </c:catAx>
      <c:valAx>
        <c:axId val="688422416"/>
        <c:scaling>
          <c:orientation val="minMax"/>
        </c:scaling>
        <c:delete val="1"/>
        <c:axPos val="b"/>
        <c:numFmt formatCode="_(* #,##0_);_(* \(#,##0\);_(* &quot;-&quot;??_);_(@_)" sourceLinked="1"/>
        <c:majorTickMark val="none"/>
        <c:minorTickMark val="none"/>
        <c:tickLblPos val="nextTo"/>
        <c:crossAx val="68842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[Superstore_Sales_Analysis_Portfolio.xlsx]ANALYSIS!PivotTable8</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5305991831235"/>
              <c:y val="-0.154921367705749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8888888888889"/>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0.11666666666666667"/>
              <c:y val="-9.25925925925926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1944444444444446"/>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1.3888888888888888E-2"/>
              <c:y val="-0.1574074074074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88888888888889"/>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305991831235"/>
              <c:y val="-0.154921367705749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3888888888888888E-2"/>
              <c:y val="-0.1574074074074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944444444444446"/>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666666666666667"/>
              <c:y val="-9.25925925925926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388888888888889"/>
              <c:y val="-6.9444444444444461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0910386201724778"/>
              <c:y val="0.17715406328925851"/>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2.274119581206192E-2"/>
              <c:y val="0.1520267419402763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1944444444444446"/>
              <c:y val="4.1666666666666581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1666666666666667"/>
              <c:y val="-9.2592592592592615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39-424E-9CC1-753025A4F5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39-424E-9CC1-753025A4F5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39-424E-9CC1-753025A4F5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39-424E-9CC1-753025A4F5C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239-424E-9CC1-753025A4F5C7}"/>
              </c:ext>
            </c:extLst>
          </c:dPt>
          <c:dLbls>
            <c:dLbl>
              <c:idx val="0"/>
              <c:layout>
                <c:manualLayout>
                  <c:x val="0.1388888888888889"/>
                  <c:y val="-6.94444444444444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39-424E-9CC1-753025A4F5C7}"/>
                </c:ext>
              </c:extLst>
            </c:dLbl>
            <c:dLbl>
              <c:idx val="1"/>
              <c:layout>
                <c:manualLayout>
                  <c:x val="0.10910386201724778"/>
                  <c:y val="0.177154063289258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39-424E-9CC1-753025A4F5C7}"/>
                </c:ext>
              </c:extLst>
            </c:dLbl>
            <c:dLbl>
              <c:idx val="2"/>
              <c:layout>
                <c:manualLayout>
                  <c:x val="2.274119581206192E-2"/>
                  <c:y val="0.152026741940276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39-424E-9CC1-753025A4F5C7}"/>
                </c:ext>
              </c:extLst>
            </c:dLbl>
            <c:dLbl>
              <c:idx val="3"/>
              <c:layout>
                <c:manualLayout>
                  <c:x val="-0.11944444444444446"/>
                  <c:y val="4.1666666666666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239-424E-9CC1-753025A4F5C7}"/>
                </c:ext>
              </c:extLst>
            </c:dLbl>
            <c:dLbl>
              <c:idx val="4"/>
              <c:layout>
                <c:manualLayout>
                  <c:x val="-0.11666666666666667"/>
                  <c:y val="-9.25925925925926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239-424E-9CC1-753025A4F5C7}"/>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ANALYSIS!$A$27:$A$32</c:f>
              <c:strCache>
                <c:ptCount val="5"/>
                <c:pt idx="0">
                  <c:v>COD</c:v>
                </c:pt>
                <c:pt idx="1">
                  <c:v>Credit Card</c:v>
                </c:pt>
                <c:pt idx="2">
                  <c:v>Debit Card</c:v>
                </c:pt>
                <c:pt idx="3">
                  <c:v>EMI</c:v>
                </c:pt>
                <c:pt idx="4">
                  <c:v>UPI</c:v>
                </c:pt>
              </c:strCache>
            </c:strRef>
          </c:cat>
          <c:val>
            <c:numRef>
              <c:f>ANALYSIS!$B$27:$B$32</c:f>
              <c:numCache>
                <c:formatCode>0.00%</c:formatCode>
                <c:ptCount val="5"/>
                <c:pt idx="0">
                  <c:v>0.17191055315810122</c:v>
                </c:pt>
                <c:pt idx="1">
                  <c:v>0.21067085131424088</c:v>
                </c:pt>
                <c:pt idx="2">
                  <c:v>0.21757551981169085</c:v>
                </c:pt>
                <c:pt idx="3">
                  <c:v>0.1860337387210671</c:v>
                </c:pt>
                <c:pt idx="4">
                  <c:v>0.21380933699489996</c:v>
                </c:pt>
              </c:numCache>
            </c:numRef>
          </c:val>
          <c:extLst>
            <c:ext xmlns:c16="http://schemas.microsoft.com/office/drawing/2014/chart" uri="{C3380CC4-5D6E-409C-BE32-E72D297353CC}">
              <c16:uniqueId val="{0000000A-D239-424E-9CC1-753025A4F5C7}"/>
            </c:ext>
          </c:extLst>
        </c:ser>
        <c:dLbls>
          <c:showLegendKey val="0"/>
          <c:showVal val="1"/>
          <c:showCatName val="0"/>
          <c:showSerName val="0"/>
          <c:showPercent val="0"/>
          <c:showBubbleSize val="0"/>
          <c:showLeaderLines val="1"/>
        </c:dLbls>
        <c:firstSliceAng val="0"/>
        <c:holeSize val="87"/>
      </c:doughnutChart>
      <c:spPr>
        <a:noFill/>
        <a:ln>
          <a:noFill/>
        </a:ln>
        <a:effectLst/>
      </c:spPr>
    </c:plotArea>
    <c:legend>
      <c:legendPos val="r"/>
      <c:layout>
        <c:manualLayout>
          <c:xMode val="edge"/>
          <c:yMode val="edge"/>
          <c:x val="0.68922233660721743"/>
          <c:y val="0.22293091665428613"/>
          <c:w val="0.30184386711019412"/>
          <c:h val="0.6889537958698557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[Superstore_Sales_Analysis_Portfolio.xlsx]ANALYSIS!PivotTable6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64768357443693"/>
          <c:y val="7.3800738007380073E-2"/>
          <c:w val="0.70193371177440034"/>
          <c:h val="0.56119185286341056"/>
        </c:manualLayout>
      </c:layout>
      <c:barChart>
        <c:barDir val="col"/>
        <c:grouping val="clustered"/>
        <c:varyColors val="0"/>
        <c:ser>
          <c:idx val="0"/>
          <c:order val="0"/>
          <c:tx>
            <c:strRef>
              <c:f>ANALYSIS!$F$8</c:f>
              <c:strCache>
                <c:ptCount val="1"/>
                <c:pt idx="0">
                  <c:v>Total</c:v>
                </c:pt>
              </c:strCache>
            </c:strRef>
          </c:tx>
          <c:spPr>
            <a:solidFill>
              <a:schemeClr val="accent1"/>
            </a:solidFill>
            <a:ln>
              <a:noFill/>
            </a:ln>
            <a:effectLst/>
          </c:spPr>
          <c:invertIfNegative val="0"/>
          <c:cat>
            <c:strRef>
              <c:f>ANALYSIS!$E$9:$E$19</c:f>
              <c:strCache>
                <c:ptCount val="10"/>
                <c:pt idx="0">
                  <c:v>Markers</c:v>
                </c:pt>
                <c:pt idx="1">
                  <c:v>Tables</c:v>
                </c:pt>
                <c:pt idx="2">
                  <c:v>Sofas</c:v>
                </c:pt>
                <c:pt idx="3">
                  <c:v>Printers</c:v>
                </c:pt>
                <c:pt idx="4">
                  <c:v>Electronic Games</c:v>
                </c:pt>
                <c:pt idx="5">
                  <c:v>Pens</c:v>
                </c:pt>
                <c:pt idx="6">
                  <c:v>Paper</c:v>
                </c:pt>
                <c:pt idx="7">
                  <c:v>Phones</c:v>
                </c:pt>
                <c:pt idx="8">
                  <c:v>Chairs</c:v>
                </c:pt>
                <c:pt idx="9">
                  <c:v>Laptops</c:v>
                </c:pt>
              </c:strCache>
            </c:strRef>
          </c:cat>
          <c:val>
            <c:numRef>
              <c:f>ANALYSIS!$F$9:$F$19</c:f>
              <c:numCache>
                <c:formatCode>_("$"* #,##0_);_("$"* \(#,##0\);_("$"* "-"??_);_(@_)</c:formatCode>
                <c:ptCount val="10"/>
                <c:pt idx="0">
                  <c:v>627875</c:v>
                </c:pt>
                <c:pt idx="1">
                  <c:v>625177</c:v>
                </c:pt>
                <c:pt idx="2">
                  <c:v>568367</c:v>
                </c:pt>
                <c:pt idx="3">
                  <c:v>566359</c:v>
                </c:pt>
                <c:pt idx="4">
                  <c:v>565092</c:v>
                </c:pt>
                <c:pt idx="5">
                  <c:v>552269</c:v>
                </c:pt>
                <c:pt idx="6">
                  <c:v>524755</c:v>
                </c:pt>
                <c:pt idx="7">
                  <c:v>503055</c:v>
                </c:pt>
                <c:pt idx="8">
                  <c:v>431964</c:v>
                </c:pt>
                <c:pt idx="9">
                  <c:v>419950</c:v>
                </c:pt>
              </c:numCache>
            </c:numRef>
          </c:val>
          <c:extLst>
            <c:ext xmlns:c16="http://schemas.microsoft.com/office/drawing/2014/chart" uri="{C3380CC4-5D6E-409C-BE32-E72D297353CC}">
              <c16:uniqueId val="{00000000-4C96-41A9-BB0F-324A3A2C6B3E}"/>
            </c:ext>
          </c:extLst>
        </c:ser>
        <c:dLbls>
          <c:showLegendKey val="0"/>
          <c:showVal val="0"/>
          <c:showCatName val="0"/>
          <c:showSerName val="0"/>
          <c:showPercent val="0"/>
          <c:showBubbleSize val="0"/>
        </c:dLbls>
        <c:gapWidth val="219"/>
        <c:overlap val="-27"/>
        <c:axId val="673409440"/>
        <c:axId val="673403200"/>
      </c:barChart>
      <c:catAx>
        <c:axId val="673409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403200"/>
        <c:crosses val="autoZero"/>
        <c:auto val="1"/>
        <c:lblAlgn val="ctr"/>
        <c:lblOffset val="100"/>
        <c:noMultiLvlLbl val="0"/>
      </c:catAx>
      <c:valAx>
        <c:axId val="673403200"/>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40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79CAFB1E-89DD-467A-AF8D-F6585809806C}">
          <cx:dataId val="0"/>
          <cx:layoutPr>
            <cx:geography cultureLanguage="en-US" cultureRegion="NG" attribution="Powered by Bing">
              <cx:geoCache provider="{E9337A44-BEBE-4D9F-B70C-5C5E7DAFC167}">
                <cx:binary>7Htpb+Q4su1fKdTnp2pxFTmYHuBRys37VusXwWW7RGohJWqj9OtfuLa2PT01t4HBAwa4RgGuTCVT
IQYj4pwT4b/fhb/d1Q+3/lVoatv/7S78/loPQ/u3337r7/RDc9u/acydd737Mry5c81v7ssXc/fw
272/nY0tfsMxor/d6Vs/PITX//g7fFvx4E7c3e1gnL0cH/xy9dCP9dD/4tqfXnp1e98Ym5l+8OZu
QL+/fnX2ML/66Hz16vWrBzuYYblZ2offXz/73OtXv738tn+686sajBvGe1hL8RtJJKaE4PjrD3n9
qna2+H45StgbDlcYR1R+/eE/7n1228D6Hyb9ePfPLPpqz+39vX/oe3ior7+frnxmP1z4+PrVnRvt
8LhzBWzi76/fWjM83L+6Hm6Hh/71K9O79NsHUvf4EG+vvz71b8/3/h9/f/EG7MOLd5645+Wm/btL
/+yd9LY2X5y35vY/6B+SvMGMci6R/OYf9Nw/CMk3HCU4QRR9c9APT3zzzx9G/Xj/f+6hp2tf+Cj9
v/+dPtrWzpv7/6SDsHjDJGMIE/ncMwK/oSIhFAvyM7K+Re03z3w35a+75efCFz7Znvx3+uRQ18Y6
0/8Ho4bGbxCmiDIWfwsK8cI38g2ighMm2Lfr4Lunvvlh0o93/+cx88fKF945/Jd651wb95/1DEWM
ESqTn1HxtN5A1CSxBMfg7+nshWcezfnrXvm26oVHzvf/nfFy8xBu/5PBQtAbyomgAqE/LTFSviEA
D2SS4J/B9DRYvtrz133yfdkLp9x8+K9wyq/xybfd+ZY0nn3yL4IzIt+wmLCEkj8PFvBMjAThRH4H
Z/SHG76VmBew6V+b9ecI7cXyZ0/y/wmT/Wu89hPUZrfD7eYrGn4C2X599QfWe7H0V6D6294d7n9/
jSmWAJJ/ouzHL3lWPM6r+la75vaHL54serjth99fR5K+oQShhGGCJCFMgt/mh6+XUEzexDHnCUtw
jKFIwSXr/KB/fw1QEK4QmnDGMXv9qnfj17cJAEDGmOBg2eM68ZOFXLh6KZz9uRnfX7+yY3PhjB36
318Dcnn9qv32uUdDGYLsm0iIdAQWIIIElM727vYKqA58HP0fP1XCBo66IzpEISO03g56GrakGcQl
01a7A5NFZNXQ65VtKs/H6K0eWHlfJxy7XoXIt6tNm0aafBeNEfE349LVx6KQprwYuPWfJm+Sj2zl
9kijoj4e5hJnMqp81sXGNEc45NWWV3LKhqm0J2XbRe6j1a07nZaxXXfNgnbFvE5psWrcbptp9vLj
ZBYi9iLWhfJDt/AP0xxGcbFglmSJM/qkxG6gG8Ina1NZtMLcTkOkP4y+7pu9864qtm0/VvxkYLEe
im1UNzFNx7gyOqhmNoLMZ7WmXCRb0dVre+b6Hh5Xh94naWKXkub7oefEh03jujhqjiyjTNSqw7nE
LKvGpMnPBF7zcVZ5DfvZKbM049ylOZPxnI3TlKAU6RzFd/Nc9/O6qbRhc6wq27PVK1u6vEqb0a/R
ovhoiVVW4KhJwyBpXist1o6ijJUtXdOKT4VtU1+0WCeVEuXo1vJ+zZelZ1U6NMXCsqlwhqoE06nY
4Srk/ixphugQz9ZfxKXI1SojouaJelX22h50FE27grX4uor4aBTp41VNyM6XqJ7Zlst2uU3astrM
9VinS7XozLi+206iqU58ZMjO9bQ5ODeMu8pO3aA667iqp3o8iCmkyairbdNYlxGui3OGpU0nXYeM
06LK6MCIKnnh9v0q80vfzM373EZDq6q8FmqNpva8LvnbyjXFJSm6/mLWU3JZt9X0UTciZIVE+ZFv
dbiE8+C2y+TMu7oP+UWN3fK+0m2E03kcpzRPcJ7NyCRnUlb5O90Gsg+aR+dRyMOgeh/J7ZR4cpLz
vN5FZWTWDCW+Wt61nWAqyWv+tuPIXvdLqJBqcl2ElJUdCalpfBJSt6zrwXrMuZJD32zG0Q6HOax+
N9dV8Y60jhzLNdGtQi2bb6hE/aJE6/MyGytff0Ez5bUiycqCggRgNxV2q1oQZhferMnBz+ym7JKs
L0dKFCUhOUFLWxSqNGttVe7H6XwsCnyMQnB7SuWohnIBX4917y91ze073we7m/Kk/Txj/R51fkqH
Wogj8HSzWVpC06Vvxem61OEy570+sjT4mwKR9cNI1qbZyjngu9L5+DhabVKqriPJ0VwHuaVl+zDJ
Lt8jFncbHaoVPJiU17IS44eYl/X7pVrNezIPhqWsE9X7LrIymyuIMB4NfhcnCG9kMg9b0/Lj2ZU8
bYSpd6Uny7mVlh3NoZezsktVtgrWRueoNJVa2VpqxXhsLmxehqMQtcGnrqgInOKiVJqJUCszRH1G
o27ZuHls0zmf9eO+DCpJap0WUZy2rJ+PXCxtRhaG39EkIudD5N+a1V+XbZTcB+YqrGI5xZViM0lY
itu1vEl8SY+beMlP4oG2ipd9niWmOEjaJ6fL7DsIjbG/XmtRZ8zH7o6PsVDtvLoLksv1czc73ykU
1UHJZm6Pi7KgbwtNWcq7GlM1N92SrassTilG48eBRZl1dZHmVROna4XQmpbBH42mLW57os1DPeMx
7afuBI/5vGF8DpmeRvIB69zsSZRgocI8Lyc4tCKjFZ97NQw4goijOj5DXYi23qFIKxkLd1mVfd+l
7YDkph4DOpt6Y3NV5yaelG7mMuyxHsKVm2kv0qqYyfU05OJzNTdRrUYzYpKKepabPNfLFY1yceIm
y25H5t2x5LnnahkQ5LkxJuGiQDZv1Sh0r/BM49NEInSzoKg/Swo5LqoYyZwhwmqveqMPrhGTUe2C
xEmEsDvrTV/BEWUuHeJw10HNu0IzXw5FlPcpfGmRFmXeH1jVyt3Q0XASDdikUrTijjrPvriI3pu2
wycomfohXbpmUbUsN50vIwjyqDqdgxanklTViY4dL1W53ukYd6qLa6doCG9d7K9Dt8apQF6nNm9y
ZUautwYhtovNKi875N0m4liTlPZzvy8ifVZXU7Glo8kzbz16bzpGd2XB4i3E+125WnHV4X5OdVe7
myJBkEG0b4/msmo23uesPmUOFSnr7XTqbFzsozksRvGGDzuKkLuEk9tkNpbzhVmcv+9CH8UKt6gG
2EPFu4Ln9AgsXDI8tzZ1rGWtqivWXDR5xLY1XtwB2QGncR+HbOljcxL5IlHcWrcbxjBmdAzDR+y9
zmrhrJqS6tPQo89l11bpCuXxZJqbYlS8n/UFFV2jbO+qLDQapwsJ/RdEpmozomW8LmPONhOd/cYV
otpS4URGfJRfmwn1ZzxOht0sSQdWGH8+FSVBm3KVvlAUNyKNvI4O83jsDdUps/NnH9P6UxfmcVvM
orpvRII2yxqDX4X4pEX94CvTH0gE5T5OqirrGPwvZ4lUC2N8P5khPsRlTbPJILzFg0EnaxuVd7IU
DHKnjnYDs5GifV5flkNNjnBfmm07lN1hBECyGbta7gl1/TYJgLyi2bFdhfV0bBpXQxyFtssGFEVZ
vKxDGlo3bUjS27uBzSYF22/MWKB0XDTfzxPpUsNOVzq3e0ubSsWtxFuH2F0Xt5fjKAA6GFumtFx3
kKIjtZDoAzJ0UVpzszXVCgijjvmmit1Z0vrLJO53su9269yMKm6qOYu1vRLRUB2Vbi221rdCdTLG
ihuLFdX6qF/rYpvT+pQ0UXQl+zDvaj7KPV3KIltJcxlV9mLxRm+HJjZqdZFNeb1cymlEWWWqetcP
rcuGtbUZLZxQTI9oZyeyQhJOyHk0BKwgtyc3A8Vmv5a5SyVDD13Oow1bykaZZmwUNi2DQlZpqAdk
vJxBeLgzzdJtkgiOn+ujPQ+TveTRJKAYr1pNbERpLNvxEBov96UtIlWYVRw1w3JZG/aJ5snbp4L0
Mxh+51p4pkJ/7wf8fPmPG9fAv68K9R9vPrYT/nh1+qMP8ctP7R7cI/3rX37okUv9/K4/tPBH/vJT
GH/BiL51Lv4FXfrlxf8xlyLxL7nUE7nnO496XPCdR4n4DYO+RBzjOGFIMgJc5juPEvSNQAlkygT4
sUQ0hr7Fdx5F0RsJ1ItLgoCRcFj2B5cSbwgIU0hQgkFVfyQ/Px7+mROhw/MnXAoBKXtKpWgCLEpg
xhJEBOiRj1zuKZXK56iYtGXsMIW4zTNcrtWVrtv8iFE6pYAd+veSlOu2BdC2RXPIj0Q9tB8lpM63
zIr2IwWI8D4mtn9fhBhvnuzkn5j3SOSeEL1H63AMjw8GYsI5ws+tk6PwOZolPZQTdbdM03DRQVCf
WBYiozpTLzvZxlPat66i6tf3Jhg2+dndBfBegShw2TgRnJIXNDPXuG6BQ3SHvMg/NF1O0nEejTyt
pHc84y1LTnAsLIdt4slxoNK8RaU3n8Jq1/tk7Lspa9eFHBV10W8qPta7ofZjtfGd45eJFu2ShjFh
h3xuhhPUknZL45aq1Y+5KkMjUUqnvjnXeInbNEEThLzoukXNKEmycVyhnotRR50iAw9qKjn+WAhb
QcIACLn2wh0nPV033tXjlba93bqF2klFA4FSVHRS6lTmukyJofH7yPtoI6rkZgSMX6d07apCJby1
Z56GYhPpaJ6Ud2TaL1GTp1W0AtNZB4AxazJPnSpyrtMWyHfa4LB8sKVomIp6iU7YXOYZ98vwXsx5
0isT10AYY6TDpMABfC9ItWxngPS7IAHBRBQDiIs57q7kGJWXcW8Mysqiiz/WLuaZs0nsM6GD3Mwj
8WY7kSAWZSCUrkIuiqDyrgPusVI93KDRaZBmknk8SCHrIrPYDlfBACpLEZl7ADQcxdsGVblQNh8q
0gL6blG0ocVKjm3w8ayKwuBZVRo4SOlXCm4tI7pnE8aRqin3ambsQ1IuYqMZtxeV9WHbFx32amR6
VdQPpVVFHNA2Lku/9cPMLpYaR7sVi+K+03jaVrHZymGaMohUeeA4aa5WvExEDW4sj9ZSlJlgQ3Kr
k6Hdr028bmTdDvvFeLduBzwUq0pKvPC0m2gY0qmz/U4MJTrOIxGOpED5O1LicS9mPQMaSph+oHM8
nSOHAlPGJs0DTmjlFF47ojpmbKMkKjqjlmkFUssTz8vHgnqti6gkZ2NlRoBVZd7w+Rr5xoRWdYl1
wExJ3hUA4nOLgA8O1b0tAaoLNfhyh2M331fV1CA1VbqZtGptO8WnfSc9iB2mrtu9tBPF533v86N1
XMmhjkk5feDBFPIEqIy7XSMyjGkuRyBGCeqi4c7mY1lnXg6dTvngqNkMo7fRxuViAUEG2SXtAWqh
zThFq7leiFuW/TJ1wCyi3AKoddY3ReZHXbSfqJx9rarIMqvkwqxPi7mK92tXaNDwB3vi9Wxa0IGI
u+1dQg7ILzUc9RC7w1L11RWIao/JUMPzA0e05+U6Jmd4dJ1MIyzhbv7x2Rads2ufr2jedKzPQaWZ
aP9+MLykypsJrA9Fsu47F9a9cXP7sc+Z+zhPWPZKsqmdMj1DIG/6eAwR8I0wfo5LP8anpfEsPpP5
TMa0xa279X0tWdZG9br9msolPLkGWDXizVAKyKNVNExnweAVpAYSGZdWM1mrfhdynNdrBpUALbds
HH3cHgFFieFXVUgJ9LBeUEFL5dA6Tx9sEWrTqyhi9nZchgaOjl/7Y+dXftb1CCye3OSi7TwOplQU
NLhdJ3B9vlg9BcWdwb3qURkuR1Pgc+ocBJbJRX3uWd01qS24Y5lYpukQXDIAd50G3Zw0AHZLSInr
DGe3aenBIiSmM9r5UKqVsHzMLMhfn6LJzguIC76SaV2sFmVO8CVWo16EV7pL5o9AE92Z5otsMsFL
p3IR00OBA95Uc+8+92h4S8LMD5OUJduhQc6XI69JnUVA+6ed0KKjCgnTTAo7maeUlfkWgTx3qsmU
d7Aziz3R9exvcDUGrhI9sjs2WWBeE0F66+ZqAxJgtKY1YuGE1qU7zvWkT8Zk9UBrO1EfQidathHB
o2MS1cNBYrwmCg5QdFNBnVnhkeWSUQncSqGuSXDKWd8LNTqMSyCnoALu7EwWyH4TL30GeRyoVsHo
FhTNQvUN6d//L3D815Mtf4jwgPpE8gRy/JMIf3DzMwH++4IfAjz0h1kCMxMA9BJAbd9Bo+RvOGjo
CCoAkgkGbPIHaCTQiuFIQC9GSA7rAMt9F+Ch2Ux4IpmIuRBf1fm/Ahrp49zAU2QE+jthlHAMPdIY
J9B6e47LlmYYJpsYcRR3TTiOyr4F6QtXV4EwYKV2Wg9zPlDQnGsGil615NUZIY3/WJa8bxWAgOgC
FUlcKN0u0wUlQ/6uWnFOjzsTwp2G/FAcXEe6PM3tSKK0C8DfRpSD8BLq5N3CBgg935Je+aWp8yNd
ivp+mhZ2MnWjeKeDK71aay8aNQDsXUBjCk06kPmgJTWHiU31ptSkAw5vJTPKNoTfC8TrBxsnh6Ku
17NShgnScUevqjwaV5C+2/zLALLheRFNp1U9aqsWa8qPa066W5oX0/tQQJrCS6+/RIS0hZIF6zrl
Q3LR8gmSSlhIf1GyIpyuiUezkp4uXxJgnpfOloCukqkpzqYI5wdO24SrohfIqNkReoJ1WZVpXK5I
gtw16tu1Ley+5nm/YVOuP6KFgH5LRCN2fcJIAuIbr68XpPX5yMYDc6Mr9maui12xSnHEQE/fxS60
JAMdlF83uljNbrW6TtSyaBwgpeNxVbqyCCATdfJ+QXFoU8iVSZzqehqPufRDivOqOxrzqtyUPeIr
5D3H07oL8tivEwiL5cItiIytOKOLk2abT8l4NSVNty8W7fZVFPefNchoQypNUzuAnby97up5OEKJ
iFKHA2yOrOtBRa2tz1GSJ7ESxVqeG764MS1YMn2oR1BA+EgHcYy0S7TS6xIABRaJPCIxz4esAGlv
U/fWn1s9+tQEAzCacFArKGhgTsUw4XY0lA3RiutQXIih/QK9o2Xcx8PamSwSxH2ZC5CXFJnXelaG
rgA7POHRPocS9S4fQ3mYiO02q1xKcmgtn25bJMUFn/2UudayLTQqfKJK0pEtcpIUKhg0n69DX5Tv
urjKw3S5RsK4eoPWaBh2gPjN1bwk+qLBckH1PXgXdMRUN4APKhWo1VF/Eq9+ceYs5o+tmwKAVNYg
hxWiw/RxZlCtBGjubwsB98j7Livr9Zr2AOhnSxBoPghNdg9Qrd1GLgchCyI0nSROjpaBVtu+qRoI
b+JTENrStqhmlVjkFZXUAfJom7QDuXNb6mpREdTkjQmAkX1Bmqyu0DEeJDp1MUpUcPQqpnIPyJ+B
5ETzdIl9vAmxXUDb6GDfxxDaRk10yTMrPJxAarv4LGJu4VnfjyQlPpdbA5TjCDe+2ZhySQ4kyPkE
tHyTzV1T7ToAKYNyzdod874bj3A5NlcA/6hVxnG24yVg/0j2l6uGwKxc+WUV5C2KIA3UIKcJ72hW
cq6VM2V/E424PqvnkKS97bQygaFrTyvIWqKxtZI9lcBSygDaNdaqnAuRTpgOahqrC0LtO0mBRxWA
jFTkyL4ciivOrYbOGyrTvIMWXwmqM1Ohr8UeMBL0yCr+uNtuvokJ0Vk8LfKQOGBwuOYAL3CJr3g7
9hmkp2qzUM8OCaPNhsPwF/RYaD+eMlnFmy6U4WRp2Pqe1JR+SBpWZhpaMiq0IHkl45DcJAkbj9uZ
P6r0RQ85JXGQO5RheXQXr8G1EPnFeh5XEL3QdS0v1glyYwUtyb1bKd2PkSxPZhTJsCn6ImxzvI7p
YOMmnXsGurSpurNmnMwu8Y04rjy+BZa/qLEwE+CMZlVMdsOm6R+bDwQ25XKudbXJV2LrlBc17DYm
JQSqiCQoYWaBIiLIZKAbGYaQ6jyyJ4bp/rzsxXw/xSzaTLaCruuA400sQIwraTJufS+aD50T4gKa
pUC2C3D/B1A6t5iN0Rmrgj1H02iypS7iGyxx/aVf6PAxAUx7nXTBXnadLjYL6uJt3dLxdFoHcShj
2lcgJ0fVBiaEaki62ozXhhJ3BJo8uSU9HGlCuvkk4M6eCtT2+xAxBIwGmpph6EaIqnm5LlDDhWoi
ZM6GSQ4nscynk57V+T7WrEynsq8yRwWkzLo4R7Iv9yaPzEUEPVqhqkkkaQE5PyPlgLHKB70exXWr
t01VNmcG1/lbbVfoCjXQCPq0GPzYWoomc4Knqt/3OO96taLwuRlGkLRJu96QieC0zcvEKxiGG4D7
d/3brpjxyarz+QTg9VSomsclnLdOXzE+omtcTHi7urLNlrkblpQvg37fdm1/QVYeLnTv8gKYI2R7
qOjhVlddfUM0BQ1g5Chs5plUaYyhE1zCqTxifrgEPaEvzwtP0DB8iDsuoUe18BlV8YclKmq7dyHx
5j1lOLdDOjg+QiWqYlGer05PoLWSEVqViIOiTqbQbNo4rPdimPgmrxabem8gBWtCEWgZfs5VoZdx
N8fNzRxCtzPVXGzgkOYHcGWdjdbWl6RdhozZ5GgsImB93Jv0f/HxE3z8bCTn+bwJ4NN/PaLyYrLn
D1yNH3Htd5DMOeikhPCnEuo3oAzzxiC8YmjqwaQeTCc/zoh8F1cT9AbQawIzSRiwH0Dr7yAZCZgz
xyDSSvQNXCd/BSR/xcB/aJePd0Q4lhwRnICOK/AL9bAGKdCiuWIPoL0Mo9zglgIHT+N2Mus7xsa2
ugUOzPqt7RbIO9mAA9MhhTIcfy6sp/Yr/KmSI6nZMmaVjGy3n2VT96c1a1qYr3BVYO1nVg1lcFnE
eV2StEgSih6S4JbxqtYhqW+FYG1+RxrS8bOCm64lqkGmB1NoyzzIiygeZpsVNfNVq9zMmgY6hksH
JhdNg5Zj3BBbfol64O71t7P/bcj9T/Rd4ENPeATlMoa5fsk4lY/j4zh+oT4nqDGj5lo85DNAYEgT
Da3pvgbZ0yf7tS8GM6eraWGovY5zg/PtkxP1J7f/qh8/9REMDJKEwJ8WCAKeAmOe85i1JKLnMTf3
JapIZSChEAZYBFTpqCu3PsyFHzIP1YNqFdEI2jwXMyVLj1MESHUmRwMHYRUUVyArHp0BAevg2q+N
BEL3dI8SqPUEBoElefz7hkfO99zGoE2EtSfRPY/8FOOsWJMi6ba1oAOJlfUD558qFufD4df3feGb
x/sCjEswZjGWgry8bzsuLnEREfcFUKyeqylu6/6Dpjm2hZpLM5pzm8NfqQzQjwNxgf8b+f05xaRw
+wTGPanAEiaQMMTQ88cu2GSiOGhyHyV10pEUhow4u4VAioaDW01Sn5kIxMtTUnXQZ636OIa+WK9N
DZvy6434Z0vEo/zPgT3LGOYYobnztEWiE53XJcDVe8pnCLntAkQHVVvm57GnGyNyyj/5R32lUz1P
Ev7Jxcvk5WYyLm7nf+OV5/0a2BboClHBQBaHCTvMyIvTMHATl0tl8zsYtrDM71zXNvmyifKml8sO
6Bk0YbJfPz96ZPNPogTuKWPoNj0GKigLRLzYgEKuJZPtEH3WUD2baB8G/RgQTXBQ4aEnUtKVwkBB
v+BWgYJPYCOYifV43bS8XFIbIW+vZQO8xUJH2nl81UzG9p9/bebzXhGFRhqJKY0pA30VRhb5i1wy
zrnwcbeGz8EPHg5BPFYx+CcOM2GRCp5M0XWLq+4xaAYg1fALhkzGf+Off9oshHgCs8qAZ0G4oZDa
np8WAaMNw9Lz/0fZtzXX6WtPfiKqAAmBXmFffI8vsU/iF1Wc5CAQAkkgcfn008T5z5z4TOU3k4fs
yvb2Bglpaa1e3Z3hre+yCDG8RfTa5jKs8bRm10RkiPtj7Z36plv02rvKGe2S7KIARwtVnZWItnvk
XyV+qwcXKlzTRZlB/0NYST4ua8hygAmBjlmkeMKMfTifFjL3hvcbeRtFyiJ9bKfRdP7eblMD1sRs
V4ubi3Id8LMB5JFhPRTouUdPszHicuSua+tKb2AfXGtp+0mg0b0X25XP4qh7ZJrXG+AQwheExDRq
UYddxRvv8K2qETMKsL8//+RPVigiFbAvzjiLQZnZa54PEQMrs7ehD+Y1z4aszSoTFxmWohCec1cl
GyhQshTre/TsPMXP/K9wYhJR4EcL8HRmT34m/7yH6MconiLb4NhICVQ4+979sCzUokZw7Abzahx2
kT2SURX0Nk0kWa/JCPapLVEAdNuLlsu65oCl3QyUHgF/Zo+13UR04TSoEC8u8iO7Kxq2JwgLDbrj
Z+Wz/fEMI+FYQmvIs/BoXKu2l61jaga1ouv2Q6vB7OMBDT2XeJOABLC9FHpZ8OwIoBq8jFtcT8UB
RQMZTyz3+7NTS90gwbC/Ls+LOlrnshiWFl8xIHnAnTdRv+cGk8m0+raMrLfmxINLwhPKom26cU6J
vazQLtVVVAu9XNQUh+vXvugFfQlxSLDI8qJGnoHO1YAU5e9r42PUxOznMcDU4hc1mSQflgYRa18n
3HSvW6JHsGsWdOvNCGitHbpL4u2MQPH3K36MRmiWUZCjcW6jgYw2/ocrji4e5azJ/JVsfl+Ms6d7
+EvHXOHwZsFm7FW0ZMMinFMPDOg2R2DBOv37bezp7B+xm+QMUDHOigxcbQqiwZ/haCPB24gz/aJp
r6df7cQs+jlYaRGNpBr75OgEyMf3YQSsNpdGZkN9rIspDUNZ5PnchXJKa3vdiYI9LcR1aLWOc8LC
41REcVPZDHjBNRZRDAwkpqIxJRUs2Te7jLEOhyCRXVyKVk37zg80I59SnPcGAJxyZAnnv4/4Y1xD
076IkW5g1LvsALSKP0esmJD9bMf8Ofg+RhKbOZciiQ1gJM8lRZJFLySIDFi2iwL1Cp3r6VdmGzGz
L2ni2zkVT2Jh+5JObbNpd9GYlOwh0m5jnJxsF8wIuDRbFXYduvd7Tp2shcbuREMS2+jvQ0o/RLYC
GVCBYxNRDU8QEpgPodqSXqPK7tPnYgJobU6TqfcbmCLi9637ax9DIbvi3oRc9i2OWLmHFGcsDppI
ggwHHm22vzVY9Ci/gQeY0x0Q3ufBrvPA7oRd8KlGkn2Ia63ZeFJR7sjJFC6QsVpxXmC4/zC0D1km
hsYTCBATbJU4gxzuw9AmkI/zzg/rM6nDHqkmZ7G0tm5rhu9TXKgUKPs02O0lT/v9fNTRkOCBLEx3
9XrcNEvAg+ck8vMzslSH6ZjzlmD1kbAhmvQNMKpwpjOa5YhuHmHzoknNjLA2ISPBBZtJxPgXaqwE
U6FriqmYplxGU5V1vsWWkDxt8a/3+dlDoUJb538Xtv+XMuTDHi2QLiC7ytMMdL29n/JhjybzRtnK
bPQ56HxAdHhPb1NZLEEB009l3f9TWNi/8j9Suv2SlCCxj3EsxQxZ05+bJAZNnzKz5J9Hn2CFTOs0
YUHh7Mf8gPtMh+wIatCwjEBGyYoJ74LokbIg6GGWZrd0033OxkK0JzR6CgQDbMjw6KCjwwmgI2z8
aelxUP1+bLWdAUeVS1f02CvYRfvjqNWyP4iobRK8ADfn4TEe9IA7yZTC2aTYtNepf59tukthPgwe
+hSCIJEk4Iv+V0WFdHCMwMZYP0u5MtAWgYERU4k5Fu0dSzfq1qOVjoEtiO4qB5fGOdtY4GuegCth
kO1E167WEb0VWuakAud5qb/HTRdfzMJTdlAgQnQ/KLB296gHpiHT30BK/0QDmijboWjRdDKVRf44
+tM8Z+hXOyvFMoDkGuvkhsQu4Ye+d6AAtQu4DGAoLIXdQP/uA+g4Vb2ogM0QNjevwHWjrKXtiYNQ
TZ9YN620rkA2AVnpbPgsE4H8TdTT5SRzZGZVjgbGtqGsxVI0lwu6c760o2nZKfC8JodMR8v2eWZD
2rx42tUCCpspTaoV9emARks9jfzAwYhRaL909UWekulgh3jergXv4/iczIlMT3U0FjI+Gmgd6POa
hVpFz3yIl+UzMFwy3Ubj1EdoCojc/8gcY+55y6EHGUozDIkcH/iydeosGqAbwBhpoYeSq4GksspB
K7DFW6Lbov8Bec0QlgOWymp/cj/Nc1ypbgaR4GISvc0KyBHiDNwiAcYzu+NJHil1DsykYyd/yqIn
aFJUC+hxjt5uZAhY0lviRiMfCIsnFh/7nhqTgwArGtnt1DNl62Mb6mkON3Mm6gYYLdWzzx5FnxJ7
CQaHrIsT1gojqjRhi3Gsd2PRzLysI8rsdJDCbe16OddjJJvz3GicNpXiM0WADQbMmi9D5NG4v8Ti
mCNRzQRpS3LnDbIuXk6QES3sU5fmOV6m9zejpgExHb02VPWu2qBisW+btzwNVy1zpk4vkiWK8rxa
2wwY8nnp20R3ZUbDfi4CQm8wnJpkOFS+LWJlMa/aTPKs/rTOZjb5fSuidu5OuSJRai6VX3kRPrGW
ZA0Hq5bvmETupkyql7wWItquKe1GzFS0WoTsW0RtK7PriAiXdzdJY5uku2/bGRqeI3j381gfhyYh
uHeErP2W1hB1IBTGgGgbe4iNal1x6KcY9JIvaZ32uJ5uO86ffV1YWzmU3pjZtABhj4UqYXL/Etw/
UhYIO/ie01M5YvRgqSU9YehazfuMkW5SeBlGOUVPvc73kE/DVANh5zMQ5vi49cg3zhOHnIeX5n2o
kJNtmD7b5viDs2QUuFonExSZfdLsjycxVKbZv5Ju2ee5p7wFlgSxmcOjiHpVSPrTWhQ09uSaBplW
NRfJmoMTXUi0J/AEqbf+Bcwx3/SYr0huw1n6jSbLbdHm+y03eNJme2JYWbgCwY/sm4iWfYEx6H/w
5LM1wnsd1/vUhJDgozhiCzvjHkI/4rLV7/E4h57FGwA3ifcyMLfZk8qo4KD1zxwAUGlymWAufq8e
sY3o4BzyNtoHJ6b112R4rBpX/c5xebZl+78I+h63JG5c9PR7qqP3j//PJL9/DkhBqm7z1IDUXiV9
JMObaphp3LnpyYpB23SDO0pZp6Ru4icU4PXAy+z9QQ1bmLDUUHl7V4MBxFeRlYmSYWWfuPYDZimk
usNHUgOMDY0lTkTgpYrXPemtNXRc2KN5Hds3/j6Dg8EOQlx7H5NMG9RolRl6NCMuVrAH8Wvx+6N9
Xx5MKHRHjoxCIBEfMzAf8I0LWyXWaZ24/TKSSjTN0Uq1cS6ft6ih6HpgpGSf3veFtPnV4y4xyP1b
ksaN+D3IbwlW1zjJ/dbfJzTaZugEqqEjA82PUZz1qr3coCRczLneQaT4ODd+wJ7mbb0jH+OM59uE
PLVvCat7LJ8xQ8aKwbuAZPfTCCx7/8I07C+Q2xV46XpQDuZSb9l+/71ntZyffQeiUXPq6wLfKy1J
anKhxjVPpmvyvlbQPeVTfv495bwNDrezNEThS3ACDLh4axqFcz4kdmPxMzK3tgCtEmS+HkKBsRa4
eNZKWJkcJrCRp8sOgAEgGzwm6dEU3bnGB4/zFe+p1bO2OCkki8t6RfjYQTA20SHWuuo47UDHEmMN
2DDhicfn5WRHvCBpzLo7bT3+XvUM3C6L5wRQEUhpRXcX1CQACsyuxdUTWQ/hhfViQRUg1m1f+6Al
M4DECwHPsysLJztfHDuNI1Yfl6gXHNIcjqNq+RqzpUW8qbthUOriN5wMeYV07cnLDvXu95WO8L+5
MK3EdJzJrz2DzmWHCRvFrMT2QmQxzNOzJSBwsovpfegLureYImKWTWFEECyN2ZFtcYIoNzmogPpD
soCG4CrgVfsSf8dPixEMv7hMfLqPd2qaFC8OCxyftw3Qx6hsug24Mqep6nkJyGJl+paYxOETbE32
GhYahBHr6h1k2RKomMTJ99aJ9LIWdsN3bO/Qm0BZDtQQKiAFiFIkCqWv1qidekhOAExk11qxfT9N
dG4AwteqmBAqCRMrzrxxRaRpT6j19snzDdmhgtQXClh82/XQiF6Df4lRfgUZeBHR1SxGtPnuQHXc
QUqwZxF+ciUImx4oYKxVHBfRRqs8sdlk3QhqUJQwSEwBArFXWpMEJTkOQ46Hv0V0w6hYr/djQ2di
X24udQkW3/tMttMAJJo0cUPC1bxlWuQPavNz9OSQTANV2Izl7BXxFusrmg3YIeeWxvsYhOkjBH+U
lztK1TXIV5FZcw2u5yua5dImb3TpWHfHmDWrONF0GKfo33MDiqQ44kQjYJ2OHfDvCJo0aDtfgEjO
avoc17atoajLViKXxzlHbmN/8NCA7woSaQFo4uyUD3qno26jetmoT+lQomuKgqMEI2RATgmGAPeJ
xyrXLU+rgDejHBQl6G7pLvz5NZL3Z2lNC4C4yjICZvhR/Ao3XRf2+MfXeo8myP73zduMev9E/wu9
F226vwexd4RPrPW6f1AQn+ETqNz33kbTCYOtXCNbFHfbtCbm2GKj7ruS6/0nv5csckpEIg42HX70
DsHv4TSqK7esDmSoJHVxce9lXoMkOsc9AHu6bpA8X86233d5HW07HDiiT4QXirRsuoTsDeubxug/
3AG33O9cNeg0vv6+UOY4jjSLpRI9vVdsYINtuSrb3nj6oN4DFohi+zfbItnB6KizOwg5OuYoPeha
20GAewp9+pNvMoMxTzO6eOGqSes9jYPgAdfIQ7fflv+14aJB4RwpReb3TW7Svc146OdlX5O52FLV
QIQ09lofZdthN57eJwQ48B70VMH2FIuOSdRey5R0efEPwNeHgh5YDuIDVnCK4Aaa4kdYWU7oIQCv
Tp8kqGC467yuF+wGKMW6OxvRfQd1AcALREyN3e/9H6q7P2u7/fJs79XEu+ERrv+hsHV+GaJ5zAFV
vYdG0D32fYU6ADvp75f6AKBjN8XwvMC1AFnhb7aX9f/hQgABni0EUsn/WSOxWoahskZQ+inn6Fkh
IjO5P1TftHjCA3UUj+x3cPz7vfwJIWRxjPVTJBkGj3Y41nn6572IQFLAt239xNFVY69NBnqlPYH4
m5PjNiB1/qd5/u8Lwn8BwAEreApwkX/ALJR0cQL3AfEIngwOilrhxL/MV4Uw93tn/32AyQ7b/R/E
Yh8hsNsY6oe0SBO0oz5ccOlaWvdTxx5/R4xZgrslQQ6BRik7LXQswqk1YnMPfiZre9C+3+M5cQgN
0bhRnEf/cEd/rnTcEUqpAuopeFGAAo/u4J9zvvI4mvOV2MfufVPNyOuwxxevBOJ6A6Y8HoGkfsXO
5KAN4g5sBCV0hOSHWL9BpIHK/pRpMmRxuSC0gEFjjcXHsT9Ecge7CNST1fzezzLvYfbvg/j4GPHg
aEziDB2TBLz4j9ATzl07gWMZ7uSo9si0/UqEzJj1/mGNCk9hGfX/DnVlaIAwmsV4kPsfxtiHOctB
8sMDjv3d72NvqaVty3hAZB2gi2jq/y9oLYsB+UMhh/EVcDij/xUOyCyARIemvXs/lpAk708jVx32
RT/a/cD4+wD3+PIfyxQLAu0nih0ISR8FovkBz5zXbWnclqmLvI+cyqpc65y8MocN809b8L8vhUdX
oO1VUFT6+cdQp0WqV1+z+uI9FQkZ0BGso9RqvPx9VL+pGP8xMGCFuBQHQeZXY774GNfjGH2ZvJHj
2W1pLMdjmi07G8HHFNKWf4/wTyhYNYw1sFUOO4kN1WI5ZfWU6Guc1qDg1NWgDJCfm5QCe4ghxgY3
fLhYkRtkw51YGpUsayVStJy+jtZqlEGuTcECPerOb+lUxRB/jZBmuAxQ2w1ZkoGwe/7ez1MMxQj5
BDFPYpdbVcvAQZnxgTUgN8YtqBoXKDTyBrzUqDV4FL8TlDzCr8lSvacVyNALHBbsVxh7LzXUHCN0
z1KnCN0oDfc0YA5wNIkuhrRAndCnHh9AisWg8iFjtydz0XtuY9AcxW6PTZFsUNmMk042SMUd75sD
M3nXehBN3yEPi2NTlr8TmV8ZFDprM+Z3s8V+iOcWculL1BaKpUdTDLikVqgqwlWMbkVTV92iR9RT
wPO7tnsmSHs5uQMfDyqdy5bF0Q4GjMEBZ13f6zA+ryOE51J5DdgVCEyOLkPZyqkYRBWBLg5WXGkJ
2EPpPbfc5POxttjc9nO28rANn9Fv2DtayAHjlN0N04gmwufGAG2uDyAhgU5wks4mILvqBEnnv1eU
nmNxlbFlTl+hb1knkML1LMxDDz2NSo9tDx0/KmEEDijY4DeEXvqxH1Y828O8pOA5l3G0a8orpGZJ
VlQryMLzjeLjNG4l2tFzg2qaFw590UZCDE7jbprfGKTgcHkRFAl3X+q81+5LD+QFrF8w/veW2+9Y
ZNEPr9lNoRG32xO48Az6sN95FoDvPU9c+2k/dN6XBnTWyAb7vFMo2RwHI8aUwcUM4jY31kOO20gV
+IuzigL/jCA+FE8GYvDupBsobkpZ1/NTtjag567NLM4NDeSiicl2qd0SLoBkDI9Q3aXVwjN5lzdT
FwMzDu6zwKK+oHUGax/sPvnWOtN9qeNmOCywj0Et2pHpjGIXkFLaZ9eFiV8Hhe3Yz4bdsF28lkP8
jqcbR+7U5gs9tkPjP21tN8VHZOXTsVhjAg3cyPR3afwTTKDMtaNRfa3hJHHMRkDQ4L7UF2Hw/CD5
XDzkRlr09U3zoxmtOHQS+geoTftDJri9KrZUn1bRowvcm4ziqwuwMWnb56cZX3lZoB57c8vgz+A9
iB+WQ1mvlqSDYQxvs5Ns4+HJUGDzJai6oK5GZKifYUZTfOug00Mp78HgLNLmGKdTfEVjLptyiCJy
A0OeDXrLsf85trl4AHjYgK80Ef4jQasH9UxikseQthIuBys0d8mop8cxUAAOCAUHmOP4KzK6FVIG
PRdw3YFgtvjSQIW3XoKB4L+PKW2T4+DNhDKn0XItAzStP4spy/UhEpG70hx0hANNpvZhCSC8ZujV
X2fjlMBUqZDDt7gdzc2S0/h6hB8PVqjI9h5qHearBensLYwcwiXQ7+iqUUSmhwLR70cyz7BW2rYi
kSibTfR1Nnb+aaNoqdIm2b6NYwsRABcG9MFtG7FyIeruSjCmnIcoeVbLFfO1rcs4Mc3dmuQIxCip
qjATuD7QAlziK7dYd0qNT6+zTi8QLmQv2bx+j70Qd3QnzYfRTwdAi3BGqBcd8kO2DuRI86m/M5K6
r6tZkJPFaG/XYPwqcCBUBS8ZyEYjT+g3dKaHkqRdfx4AFJRprKeHJenVwyjXSVVqmupnK1f7xUEZ
kJZ28aDaJ87ApwT3h45rAcwNG2+RW0WXYr7n6Si7qt9C+63VZivR5NEvsPW0pTEheeBoIlya1BUV
lIziijY9/TYWbLmBqsYFtB2ox0XFVAofWVSkvr5hRTQ0ZZco/s1FSGoOBfKzFrKW0ULYwdQJgZ4x
aFe2/GJKBnkPng64HbN0z+nQm3OAx8y5NYF9c0Q8z6iTnzert+JsDXwsWqvrnysm5Cyn3Psj0sD1
aXI8g0SUWnRsVT2VsYTgETxoiCWRhyZlnY/8mfcTfyOQ73xunRjewha2nx4L/BDyIb2lIBacwd1P
D3ax0xPyywgWP32AzcmoXrd46M+kSwSYWYCT7+QaU5xlCyJS3DYF8KBMsYscjZnKjH17Vpl3z+B2
Edx/SK+SuCenlpHxK3A5e8976S6SteNPWrvtuh5be1xyhFyUwbq562k8XTlP5/t+FO6zgzrtO1EB
wSG1K1Saq8bmAab1KYGm93px+XzZzAsZgNsU/VkwTQ8oj8GwBOzBL7fIiRtY77gHCKflcwHo5Kvd
ignSR1lfYLPlt1sSTeAwwSCk4yK7QYc7IdWkeXcotrUnWO+uP211NNwrQPD3NbQOtgIzJD65ubVf
zeRpjeJ6224cp/4aRCUFdEDDqIZsXCNm6+VIclVcJOj5VcFs9FMRagJk3kU/IpGCg3azZnRreLXq
BbnuIfeAtIsblZGQT8cY3tlQM3XciJs5MvU9UJbuLqJr/9JN7ht+ByJM+LK8jBoZTOvz9m7hLeiX
mUmaKz6Y9NVHsGerOjnHt6D6+OcmDcGeZdrB8IrLJL+mYnDFice651caNgMH9HEpXNDQ7z4UfNMQ
IW0TD6Umor8bIvT7r9fI5phrFs+Tu7E8oNGTQGM6X/bU6k9kodFD3vPGVGxxcjhKbtxjCzUHHHu6
YZXXulEDZFKuz0BCFCKJznkYx+1xLXqoqs976hEfuF2GblCYtQFaqiuFmhwKmSRH5lJl2otfsrp2
rIhP6s9zvg1rNcQduwFdTyQwO0OKeD2hEJ9esgbVn0MccWbKoNeJ6x60ooswsRzaNqiK2s8bWUUa
ynWxMYcSCMEuviwoOgJn2629g4nUmPknHtUK6uG07rgr4ctTdwr+A3x5aghYM2UqafcwwLJpO88o
NKHAy20a38y8XfoqdcDxb/MO4fQAgtwGY4KtuWrhqlPBuENdTdG6QMzQrRHjMEsIuo8XfQBOo9XO
0jJppj9NE22L6bCylnVQL/hxwH4o0N6sfLKm+kgT38kb+L61rNQ9YN5qmxbbl0SvaPzkvlUXfUOz
4VijUXirGsCkh3ZplgtS06Q4MJgN5oDEWpdcqtoZtCN9lq+wo0L3m8E2AAIrvuSVbgUdS+j/d6UX
MLuXxETuR+BITYgza3oeBpGQI6xCUp9WSOFkBFeqcaeiQREm2eMa0SFHYuaLtekqRNIJHxjiCEq7
7whCtmBHaTpYK9Q2gW+D0nmSy6NJlyHLbpMoMP+MZq4WF60t6Lc6hNdtkzWMw8xrzU0G5bKd9dMM
bsdRFAL2ajg8YgQJ5tD+yrfrboVWy5HGn4J0vDLWbKbMQdM0pdaZfnJ9xw7OMWiQioYivoZJf59q
sZ3yoUMbr17ELTqMRVwlyzjbw4bDht7zUZKnHAQid2gCsB6sByyYEny4+UcyGPVgYLMACX6e1zfj
0A9P3o4TFCRLHaDh7DVMpSK98Es9tPaQ9rY7KQvVf6/i5MgnOVwrkUW3sDWk16lB03KoRzSvOcqi
Q5qK8K33uT9vS5p2JdxlOn2IebDj0SQM7mCqmKdLs4tY+DjHSwW/DpglsTEYGDfA6aoaQIj0lyPD
4I4rQO6nTcB4XKDvbc8t+msHh005l9uq3B1OeRz+DVPdoWmRX+AWxCNOnebkc84q3xv50jZ18grk
bTmBtMPPMJfTp9zk7X3Uxq4Kmskvca+fuxZMsBqF2ylPRft1mNNpKDMyDF9JLODslhIBbSbU+UXV
ABy9EibFoOsYCHezhArFLvkEQaG/CrA3/K4kyV+VqJMvCnYdN3ByBEHB2OGSADJ+Afieqj2mwX2C
tLG9ZUIQ5K0IjvsipN+p2ovhtdf7qb2k49sQ4Hhw7FiDRijA5IFdwucBlgejg7QMvaZtAFiYz21S
kQ5xpGRR02a3nRnTNynlpMq0wz2UbQf/lkrheyvAX1gTcjXZpWY+zQ+TBJHTIddS9ZU2w/Qvg6pN
VsoQEr/i4J1dyaNiDhdwpmKHCV4iF7BIS5933sApgWzWw3QzMp+ybGnffCgMjgdUnqfBC7ChBpER
6MQKd21WkEogtkRKc7OM3rypdFqaagTMGMomdMv3aVqxV7ApUad5AxTzR0DXKpToyIVj3wZyBZC6
BmWqgb76YqeN/oQWPIiTzuV0TVfUb2WEdGQ6dMJG2TGyGpzfeAvZyzR23dfcwBFTjQSSxDiCWtPP
efKE7lrBwQpCDleyCbYu5xlJ1RWiXz8fFyslfBYXjtQTLA74LRA5J1HlIaK25arjzBydCVAYgJGC
RVRRqWVLVTjVgaGVolXVKiRp7riXsTAbWW2TIqcmvdi+9KPv1ad0SObxgKpCKIQ0zoYNFqOJr+EV
FMVp29NPzBOYvajENuRbB9ooTL0CXFJg1oCGmVriWyUHNvAK1fYCkwu/ST36KseBm60Hif4VHFM9
2NwUuvKwCq2u10KkJK5GjwLM3HcB6BCBsLP2HCpEb2zzpa4VHerDjK2CNgrUOKR3ZVjgBDSd6l1n
eemlj/S/RzsuITtK8J90f8wsem1PIk7ReznDqA32Iwe30ihu71sP09DshUagS/kWTGb0AAJo7hj+
Tx3xPMY8jm2/HjjcRLMvGbpM8ukdrI3M3nCYOr5Do2kiFnMNV+29dQ++wN6twD7c8h81FfHCzuBV
b9hvNhl589WbWcJLsS8AdEWobEU7MxwRCMfTi4f80RY3ExLK5S5uebzCm7YevVXnDd0tPC0cee3Q
vpHC90Efsm7ya39NPIa3QaALlsW4u1UQLZ7IlJmGHRmIqg25ir236wAeUjMhx0HtUNuTMUWLeBxN
w0GBhXSbgsyF1N1wRMyVN0iiCnpuplyvqwEKG4CkNhUoVb6b6bHuF9p0RzODccOBHfRDcbMh9SuO
IoKoHl2wIOCuBhW15fSYrxuhZ/T99IspfPccgV0z7RYfcVHC5nDZjmCb6B9xr5Blgf0unToObOTy
EBx4Kku5pRbNx4359RfL/oo3dbgHWBougAM3N0MMaymVMn/bJusK0SLRIGsFjkawibonOBHM+aVF
CpeXpDcrLZd+Vv3ZTTFYjEthZlgUxkH9MFssFEIrhccMwznqD/ArWB/HBgaKSBCi7ogMFBWiaE2W
nR2jkz4IuM6+RZtYVtgw1rNNHgv42mUH/L8y/XcXo4Fdji1UynEP+SiqEdcm8oh0wo0XXmYq/Kij
ZUdckFGnPQw8ZX2CTiuI6KR9UoCck1o45IoYdi5HusbjRQLPnK+w06XJWOUirYcKgCLEvOWar+Od
LljsD2mc+ekLqA+gTZTOgGVXgdNhAxKkJAWvCOAWpO4p1SW1yMNvFzTclhJq0vyYK9ZdRfU4gMru
M4grwK0zsNKDLwOU00UP4XGZR5M8Q7eAB5MvcM6DfZS9sKazbeUBmL1tICxgbQj+4KN4wDg3c2KJ
We5XPOwD5aLgR3gVzz8jkJcAHramvokQhsdXFJezfMhbDZXpCB5Tc4EMhl05mmfNG0IkWc8k0Bb+
okTcgiZZ/6gdXG/LYt4W0NWEBzKybc1Smiaen4sl8/cwI5IYAmRs6A7nekA0zTXECirjjwngw/zA
oRi/TABaQAUPbsy/ZkKhI8zUSOGr2LagJ7rsyYp6gE9UH39hbkxKnoOHKN1uBkBGGClCcrTeQVOZ
NofUjwGirq4HQZ43gYfLmjmw08Z+Ax20FvOC2+XdTo1ANVyZPl9hJZnBsruMCYSFhzrA/hIYDfQO
TTmZHPRCAmMCJAX9Ot4Sb/xNnSahOMRZbfITiBAG8lvYM53WqccowQbIX6mTRV1qJOCfbLRnvGNB
4QiJnHq3AlWCg46ibCMPONBbMK8Al9xvGghACQcJA1PIAILdgcS6OW52we/UGeh0oI1ocwjE/HuG
WfQxFeNSzVO2fs0RLcL1MsEj8tDZUDyOUCPDcTjKMouCoAEKpNPh9n+xdx5LciPp0n0ijEGLbQJI
UVqxBDcwSmgVCIjA0/8H7J7+WUVels1s713M2PQ0WchCQkR87n7cqhLz3M+q0sMmlKh6J2CSnGta
Zn5WVV5utN7hBq9eEeIBMz+RihkbdAYvUKAuhwJe1WznKhpnVQw78CQyiccs9yuev8KqzgvDVM5e
urPzqCUgna+YXAH+xcixoVu72njJAxwPhLoNcdXiMNFjb3YUm4LAJNXQJ7pTx7VRZA+ls4g55L3J
qo71eZRZove38+ZezxawJOYuLaTvqraee1wW6W4aqxdrqNtnIdt2l9GGcufhqMQolU5c8pV4SbUZ
9EE5LFqosfK4FCPxnoG5y8cmHbWTKLipI5GX3rUcZXsmHWAo7MjLC+YC3lFLdP+RiXHucRmk7ufO
XK14sfXhbhLKPJVDC5C1mPx5W63pNdaZhhGPNwz+EQxw40Zwvlk41XmwHBrHnKo70rJ5JBhuRYJL
3Q57yxljli/GeaNagvDFbDxniVqeg0Qau24YdaKTThnXfpV8x1asR7Zjyw8+y/2DYSfG5xYH+rPO
X9lgXpw4LP/PZG78ywWR/9BBm9ot/vgJg7K86UYQyTtfArfgPlhvglSDniQMuz7wPhAN24zBinwP
cwp/+2LuTfFUMOyI/IWNSg/5ft0tmdE+an5l34OisevQZqp/6rrGQArDaVla1hc1Mv0XcdkxDxKf
eUGV9RShgZNiemZH29bdnbCH1nauZZH1POUH39+8SaIn/4xJYAEx2qM1IDi21zZcdewns0lWw4ys
Vl9kdtLHrC7WE0ZuJT8k+TJDpIL3Uh6L1q+lHSa20KUW+ZMDxJaHV4mbBU0Lf0QRGLmrRxjvjJVl
o6+rPBSlK/TlNKqFKebONRdnb9vN7H+ErSt5qADQrcBXz+DndJBkcO5rpqTKTVMMLQBUJ+zILONx
VSmy0Nw02NhtByto1rXf9F5T3hAhaGLUi4duVmWGYpmnJW6hLk02EznXYI8MAnV61fvbyfIlW5jc
WlwhHlvwg1MRIcT67PuIDOVLcVUU7TC20TC7vmvEemeBbfw8lutkwGcu0i5X4dzaLMl2a5fxZDgm
xCSLADIFVPGKPEmqB9UBePrk9U+jlq4mNL3EL/l3eOE9FzqSHNgwnxcKqK4bLjrUqGn/jjz3OiCC
+EeAOiAri8iJTQ/jw2sputHZcxRLF3zRC1Ikf6vepls6yE/CqlPcnrM/NXWo17YwvZ0nKoJIuwod
ZQCL1Czeh+KH0PXnz/VaXeZjgaJyiavCL0U8RCt6/bFyRxFNSnPva9l2m9BS/2X8qMug4kKEijJU
7wiVrzX57YjEuDkbW3YYyXdDBfzsyWBo6Ev6FZpv9V9HnP5y1Vhg/JDmBy+zoYrISV/g6Gd5gVj5
11fxd8nHzV+K6F9tFT+Dan/m1v6vxOQ6tFT9dHH8Ajv7uajt/7Mc/vpbf8McDMP+l2GRCNK3ZPPW
e/UP9Qwy7b9sHcsFN/ePSB03wL9RuSYFM2jLPvI+uXzU/n+ADhYICIsf6Pm6j0sDr8Z/AnR4ky/9
4V0gpsRzwLN0Ikv2drX/5PeRhAO6fhyXK/h5pLtn3tC71sKKHZYQUG9dzVFnBZzmMtb1Ur7AoZw+
lLCW8JUFTf/009n7+zL7uQTFeH2l/+WkAFiw3WM6d767PRJ++jR2o7oyyMbpCsqMcZWWKxz70WsZ
NCyTxBk9zfb44k0dfEcYPLIPMVvxisK47dm81b3mayClfs3PyFhwV5XxAYOKbxyU6yTfDHzjyzsP
KfONX+GH98P1NsMQDjndN994P+yckQnGRnlFMiJNI5d8x4cJiJ61l55qHSLSi1FEucfefPVclmyq
1K1DzfrAYFTVyq/0mAxGmGudEzEib9ml1ZmOhiecEst0W2Q35cjEm43XECHWBI9D1p+TBXGWGN6F
e5mLbKoPf/4efv0aeMbptNHAaTZY0b954HhQaRjjV8MVAejgEci7AVkcHlQH2XRcbuZFBPddYlTP
fz7s6yfr5mvZ0qwetZhci/zX9rF++vYZwqV2N6TNVeOvxhVO9/EKYwHZgSR7/PORtmf0T76PH0cK
CIptvjGyUv6b66xrcEr2zPyvkJHtT1u9Q3VIpK/MXdllsd5jwg4tXfltiEA41+9dNG9tX/yWBFfh
0WGxg6Xy9vAYbXIe5yhJXl86ROZH51NJgWJ1IH4xxGxM2p3S+eoPc9XPiIRl631jskFyJlD2xULX
jR5ac4HqUKD8f2CabVpR5iv1raOMJdI15JDQQRoUR8dy1/Gd99FbvvZmQOKVZBrYgYj48WZ6/UXp
7uhA1060S2NM6k85C/p0Z2ilbCDJKVLJZ3OWl58x26MBrz2mZBYbecj2yPsuvXVtQ5WlHkvDYvqW
Y2X9Ojld5p39+SvGq/b2SyYNyEXkMuYhxOV4W2Lup8vJFX6u40u3Lgsb/2LgRzLI1sOW0wr2chpH
jLS9fjvVyhmhfWQeA7XmMJgQXCu7IyEOn/Wug0qz7LxqTp/mooaFO7Dg65y++4B+50cQz5JwbIsi
J3JpsWVLiqG5mjttYIPHXiBNjaDYMYlglWJOWX1E56nuzCK9SdHtll01ev2VTPoHadaaFbmTyYnM
lcmzwR7XdafPfnFRUY/ykuhMlTPXp9uAZVkQznrG6pprPj9pPrzI3ax8ynBmqkfWYvnSDWikIzZf
drS19PZQ8sYTlBPzoc/g9xwSD0bXbs3K5HNAMI/RatNrH8cafb9jLHzCx96djD6ovuZT53LfW3V5
nwfJ4u0m1rRngiqbUHEe2GWYwTU6xhKzlu73hrEYU1xheURIhB7XhxOlJlDRLMG0NrgGc5bqEXZs
eeRVY84hYQyXPYdXPS+1np2bIujuHSZlhzEoNBOjb71+8t1WxMDZQbbTkkVFFIv9T4z85+9Yszon
xEilj7smNanoWGTRcnPMc6zSafTpSUlovJBWfWz4o5hXbdFyolH26VYqKA3xkpm1Y+ssMK1llYSW
1JqaQVIZp5vN8Xa2DDvKB4GLp+BKopFLzgEcYctbLlwGG1WCObOXdb1DJUKE+5rBWDfXl2HWlm2o
EQge5e0XU9WFtIBny3Hs9CtZSrxODM369YCtSyb4Y3IsEoVZtfc6VIdToSxgxyPfQYJQpAcMdjI0
16hJNii5rMq5j+EgpHooKniF11kPLhH6pPLmLFJLBX7NHaTFFTUnrUE1yci7cO9qWZFcT9w6bhqC
3WUeYVhgHPZNlYtgx2aAUVC8oJpAkQ5g/+9UgrccE1xC8gRY+Jzs58qr6nhIWBXsnSat19BfHZ6Y
jVniNqgzoVXYKFQ63DClw7Pdprn/XRsnL9cjvTUlpiB/9K8clMnkrLE86cGGa5ahX9Vx0Hm6IaKl
mYftfpjWfh+Iocn3qnJrddSHoe5Cx2QwEXqLo6qDIHSnhXyt5pPW1asRMaamSYX/6Bq1VLqGS0M2
zVNBMVp9suBpV9R7SfduHaWF6M+IzzjP5mzwGkQ/M5OHRExdc8/L2Dpjx2WW+7HjE8SthEQc+8ay
slEqVDdf1j6+npg2i07gGDPGMwG1q4rSxErHyMOh2e1yb2B90sBkWr+x+Q1cdB2J5kX8OOtPhp7b
R7YSpRtiquotWrvol1lBj7Jbn0UXkE+cCxuWfV+sDEiKVTvXk8reG12Cs8HLAq+LDaAq7SkDu5nG
ZWBTt7H9uZ0RMFbh8kkx2y5zzjAaHUX7KJgjKJIw3EfmlbHCYsl3/mRr1oPaSomu3C5QbdSw3750
xoZXUsqeir8QMNy39oRFjeYFhabJznoCdBDhZ2fNz8mrywebbdonBxIiMwTQrRbBGfx38eCuOR8e
Zz8+RYugfsiWNc4JS75U88zKokiL6Z7t5Py5E5mFYjOnCdB+h06Txk/4OU7VEpdtxGRcoYlZ9u0g
HePBkCgfu9klkRtKQoZLTDSryI8CaRGJ32OWep1rXvDY6NTGhUBA++HgVUM23CwKrGqo9zPfTTY3
fLAWL4hxzhsseGTTz9Vd85SEx28ES3uSQ5CYNwUtB+Wd6Tc0Nyx2MY+XcpHb4jNTy41Tau4St3PN
odt2XREtzFquGFa87ZffPvrM84nPxcDrynYafouxJ1kDk7It1zAoJ26drkrL/LYhS4qYO7IqSPl3
PFNN2WTXvWErZjBWR63RKSOtPl7WWsY8M9fHHvkSX78VQ0HH38c/I7bzG/EAQbzZ1smyqR+Rc4Iz
HNxw64ljllwXqOKf5gZtAo2lUHeWXPThPGWZW5xDdy2Le5+3xWFodOOqD9L+BTqI22+Rv9w8aykW
HEF5M2GKlPB6RFeM44fO5LRulgL1paSf6GYZB8bNPfSo8ml263Q4IuPW34mbbc+QvK+yiH2Ab8U5
Lrlh34HYedL0pN7Xc5cy1rZ5zCkxZ3c5bsxztLLCiRxTmORgKsfmdZSZwSPlT1MaV2bDbbJqiRWc
7KY1+m81D2R1RmEJ9wYOHK6RwkH42SMFUeIjnbk/N8RouoD3KznxprUmnaV3X3wUAfZGTbFMP1sD
KYyv2O3UAGSO3incPCY/aqmNzaQ141Y+0XOBOqsxSCLWPU3yclEeIsc09DvfG452zbDluM6b+RKd
fFgPXVW27WXjLjYNVwgJcdY39XSekkvOQt8Z6uyBlcjwVcdXiwPTy4eJroaBDolgnvyet4Dq7yuM
B/mz0a6WP+0wCZXqQyfxePDDMCbFGanw9ExLuvlzluraRBZ0cMtTjtv7lnqpZD0ItP08zteRizQ3
ZWHdLGW1Ole1220GAloM3EvbyHBGKlY3Qzzjd8Aq7Df5pnR60PD9YQDtu1iLiKYKo9BhJdLPR6Ve
w4tUgjgSJh1y/RMjXeOhyATXGm+64JFrvR5uKI2DOjaaXUAars4wXizjC3Hn2adnoJy8Dw4Ogzma
8VzbWMAqoAwQfwOU0pQrOu5yi2+TjYNaLnJLlu2FR8+gdYNbpnJPsAfQwYBva+llKbRujuoB2XHH
amyUl1WV8PkF+cL9kPllhh1X10+qt7nvFUWhOciXzLv8sSr9v0nK75q6/+4i+tEfZDgbp/CfVMUv
o5TLnNbOUeSvYJp//aW/Jyk+pbsBla1kAxzCOf+MUQLnX95WnIolhv/z3wMU/V8u2Q8X2gPpNiQa
Ds7P/9Hb6lLnarP34w+QvyHx9J8MUBj6vdlmbP3MBnMccDboVc5bjo0w3KLnNZudrVyHZB6r1EVT
tIvEVLvOtacXPa09LElOe5djx71a52CL49a6ETbBWMQGy6L7QkIhiyFEl9cZDSeYDLSmQNAStMew
DpFohDv4crC9HX/xLQwTvOl3STl7e5U52flUze2FnmKP3rVmddGh1t544I8PNbZhVvuJd7ABfcsQ
wkcSbXWryNeZOJWsAy/HAT41mkOm4VJTEkEC2/E5XS7uE+WAAMk9ggLh4iUpXOBxwmdjyuPUYKZp
e9uGG44Uexr1z2W5tp+IofiXa2lhWRGLL2P+AM/eyV32wMARapLFT5GWA3zfWdLqJ0Ml9rEUpvaF
XXj/3evy4NoqGv8EuVt8SxeovsDBO+Mmz7rxwJJN3NmDPZ8VJe87pikIECElMN9wU+vAHXgBYMlC
cNN4t12lepOeD92qfWncVMid0bXmFS+A5gR+4XkKlv6umMEglJk/fcg6Ke+DQC71rtJW8RmIR/os
AGsE0N9wtrpuSrhhbXimMJKlwoV3OwbfXJwyENVeCJpFfOoVJPvQtOcnl4gZZ7qpPkMelsdgzeXe
sPP8y6qP1QVb02taKpwz5vy4kpN1Pe+Sagobx9t66PzBjISbK1yAajQFX2paPrOiQ3DkLI38tFob
9uaAvobPOQlFW7v8orgqd4ORjKAVHO1YoNoflj6pHtrGzp5KOAhlCPDIAj9Mqi+uXacw8HM7GMoy
k10A74ClPPXsPS9HO1gHtrY6tA9l4J7JiPajSG4P9Hlo2FKtZOR3GO3m73lhMoCmrLWhdKDaXm5F
1tzkLgBvHL/eRUqdT+QAnt8hJdeXndSKC1OzDBWW9Wxru9ZGJt85bZc+Jt5q0s06pvbnfpnxqZSd
g1ujEvypTq+Pa7fyXpk84hitz4hwrZ3gNk1o/ph9Le6yegozNUGKcK5yrCBfGs8qT7pgNTQXKJoR
7m51gDG/nK9ggYZ9EcgGgEuRPGu1m2pnSW/2RRw0nvG1n/WBwYA+j3fTOrdJPKnSeJFsx5owbfrx
1iAY/lEQvcJqOxufSkEsL5yUxJwwe+DPbYuGlZ3wgxY6E2sHltCLvVGtUZBHnIePLDay856N/OfR
7bFlGTYXbUi6vjpShOB/LMC/XSJ6Kv20BGXwgIuq1UKFJRqPAHUFFQLR0O79rKk/OWkWfKBS8bOm
zx3imLAYzrjqm9MJxayWDXezmQyb5yIdmTdWopAeX1YjXqRns6xUXtEhmLV437WJ9j7JlPuCzgRE
KClujcEP7B0pehkLHfEYJKcd+5hE6cWi02GdsCHgKsqBkQRjvM6yPytbA9uqPniQuLPC5zzYxaHF
0VMg3igv1Og4O+CYyO/MSXMObU7SNNICmdix7Qn9xaSZKl5tnqiTqcM5D5iXFQdPdtUJRnh/Vdqb
sSBoLXnHoMfmxHp18VTmBSUIvUErBk+0ZKTlbGl8hC3y55OnOnG0NX9gORrgEMOZPlzbtAp/aQk2
4AkxiulG9Urj4bJm0FO0AgNtYNvTXvOz/qM7K+II2PBeCIEAaR3ypI7lPACPsxwlEorHrP46U0GC
fc/s2IRmc3LKTG0Grat39+RJO3CTwXxOVDoP66pExgTCbW80bmTD6pYhb0U7NKzugp193GLVOaDu
P6SNMx6GzRaZWzaYb4x9mDFY71GpLeGA9xsRfP0BB58MOOEt2RFc2Rnw8GrjiC/kWmGK21XvQhi3
xdzlT+sP9LjybJybzz6BJFI92V+M8vEHsDwBPEAqqID6UrDrZ9cn7iCU6XcYgVOc5ojWHvDM05TO
jw6pmLs+8P270QC9SfdEkTzOwm2eLU34zGa8Zj7LVFo++o1LZ88wc1v5MDlv9HGpb3B2EeyFWBLK
vLSvApaGYTutxKccQVzA4JUXLrXKr0YT81nvk2WKEPZrCk10+Ty6pbY38EdyYiqN5mDC/XQWicG9
6A0+/rpI89JxcNOxaJXJve0L90Qv8fyAxu+zn6Fs5JsFSu8aw/VYg6Dr2wuFFn6FNb27X7nGTym/
+JeOac1pVsJhigjyfoEI8bG0AVWHK+O+Y2pUal/YTJEXQ44xzLwxLjFiTNFIfIXiiNVjn561IcUd
N301ip3T4wtN2mqweciWyd28Jic6a81LYkOYiJqVuhnlj+0NfGSQSpzPB9EuBviTlYCCrXmHohfa
NSvlyYrZ9jq3VbBmX6GX5cd80WaE0n7pOA6c1jPF/uzWLMV8CFQQnCZjHB4JWtQ3k4Fpi/sJI3Ez
toItpkcqYJhTmntXpfQIXg+7m9EKeqZhuE9wT1kMQQKKWjOguPibK/t6LOuEDphgOQ28GOn8Neer
JvC/6G0efDEGvBk0Ojn9c475+6M+J+VpaLXu0FiZ5jOP4FHD5ZfxkrYry2H6rnv7fCrKmyRo548d
0MaolIb7Yra5f21ifo0lE69mh2vHBFs4M4eIhTDN9r5RwXMOz5knduZn3XnP7JOWwQbmHIbeOXjJ
taS8B7c7kHchnjscLS/oIXu4aMu4xqlGuDBdmfMeCwyGB7D6MkICvPg58625KjAYKak0y1d7K3O9
fRe4Xpg1jZuERTrfrvQcF+cSNbo+YhnPnp0OntQn0+UWZ1Ne6k4s5lWk7q50F1Idl8xMkbcO9GGz
lT/jkjVFeeZRoaUNn/pkfWHtuzyVlLd9KabFfAzk6D0Yfdqd9X3+0GNVimurr08e7tLQG6c69Nrl
zq1WWnzG73aefSqk++JBTvtstZtlyRYOeQwHJS3QiiMs3eqmN6p4tmvtgi/HhPvSlaemlP13a6XK
C79TX5JW6S2fOfeYV0fRKnmLMlKqcBztjCySwOD94LujiOvVXG+zlfXOTm7g9b8j6v+3hXpnC8Vu
ZSMg/M9bqD0SUf710887qL//zr93UPq/+BE6LAHI3yb1Ashe/65t9f6FzueidyPrwAD4aStlGeyX
jADiIB+A/ZSFGvj3VgoB2zERgQijo4GadJr+J1upNxsp3B5b/5ZtwFThfwLbeK3XpOy/V79rx6NJ
sEWGVRkwcSYKGlzYPHqwPTuiuaBxNG+iIMNp99O5+o32/EZ8ZJqI4OxTbKCzj0Sr3z7dT2oRlvGV
BPBCdfVoTrGnahdSlVlFinz18b84VOA7PMJsUodvU+fCKibDqJ2t+FuQbjYNaFhD1sUIhf1/8Vtx
KgPLRbNz2cy9/q1oQynx1tqSDPWSo1msfSQkOUS5eO9BwjfR7ydN9ccJZPurk9/nomA3/PpQPMHG
snI4gUGeoNQrk0Hm6H5fJjdKm6TgoWSx702SMkRzbd/jX/724BsImasYVeLN7ymXjIwE+zf8N7a7
AyZEPyqLp/8M9MCv6Jhclx6BPhfnj/fmKEPqW8PUJ+NBgMkCOGM2WKadpfemuOhqNL4/XydvZPgf
h9tADybjCy6Tt74fp8ffnbGSOKTK5eVYim8wUr77aVvvwJScu1ied38+4ibsv/4OAcdQCuRsLQWG
/pZkkWRlMdMKNh4K5h0huK+KLyto4z8fZTtNvxwFWRBTmE4RgrXdij/dajabH2yu5Xiw8omls6Zd
gNW8VoZJKlynYPfPR/vdWTR/OtqbLw3zDZFgqLcHn+zNLiH6mk41Im6xFYOw3d+Jsvz850O+YRs7
P765rV+BaRESOVL5699QZcT7seETWM9cm9ZPu3pMiRifyG34RzAEZTT2d96k/JCV0/DVlbp/RpTl
OLJVJl8bTPG4UM4rZq/7siyWdlK0jezMRPb3GzGAnE4aGmW/vvNgMn7z/eMv83TDdfC2/XLF+UPq
mi2exkM+Y8vc2dpcertlcaaY3PnGuiLf3YFso6Gp7GjwWuyPOnbzG1zx3ZWHmShMuzS4ZpyfvnMv
OL/9aDyftzscxuhbT0oRAH1HZZQsvTM8zpkT4XwhIOa7MobIOXwAxUeUcWayFLXV2pzB4xAXqJZT
GdWLnHYTi0WcSwR18OLuLCS0KGl8ChPMVJ2noymuTHfVTms5g4XHLB5h6IRnS3T5cUQ/e5SE5cIA
KS4ULLz30I/z3WQJPx7b5UyWAvK6VlEYlji0GVZwyO3yA3PsgZ2qYlBF+exeWBRzzZq8boOtBTf3
QAGw2t0tSZVc6ERMKKzuma81pbaRzr6XyrqTuD0ZBKblkVoWec1PbvZ/vlp/vUF8rlgLe5rNO5hp
5uuLlUSPMzrz9qUP2RVVXBmOG+Zy+fIwrkkXjyPsh//iiIgz5Oocb3vevD5iIJaJeFspDyJJTgYe
xspIvwSNfSEspGZElOc/H+/Xd7vveDxtwENsfKe3Jq0hDagerkZ5KBRxTXOy51NKWiH2TfEe+/vX
y9R3MK6ZoAcDHal5+/c/PdvS0ZmKGV/XAZCsc95qvXFq59F75wT+9ii0MbFMQXblHL4+CogqrZZg
8Q4a1mSxI0SvHZlB+zd/Pm9v3YE8x/htfAO7EoYNj7ff6+OUyMYGijBuh8VoI1wExd5dKJV2B5DG
djJA3LW48HXPwhLiP6HKHVq7zN97LG1OndcvDHyTlgv+xHAsHJVvTHZ9T18glE/gJxSlxjOWiD26
uNzbs8z90LJX+2Q0JHCF3n6r2tm7oz1qPqSOPl3S5WGd4b94F1//28+EU8vHyxewZn3zWkltTSPO
YA0HggINI0YnDvQRDbSR/VUydGOYkZF/qRCGQ/h46nrcXNcU3YDN8psWe0D1DcDjdFX6C5Oq+ePI
VD3sc9ndK+C4u07mzpGh3nzWKKL0unxvcWH+9hcIKJhBtcCear3xwAGdCGrlz5zUTN2lwuv242yn
HzKeYmHXe0WUDIYe1p4reWOJmm5vjDi59wDnLziNXZKEZKSmGDU6uG1Xr33w7fXb6iRQ6v0s2KPe
qmguC21r86vAAROreefqfGOj+3F1smH55zd4c3XOktRb2qrhoLQiPUvWoDmTzkJPosbIIhc85JmA
YtrRT3SjT+HQka3680ewfn8SfZ2uGQhuv+CqKO62Z/xjw5Y9lqQqK9/5zLLqxrOHBh6C/rWtpuUJ
ASn7gpNRjhMl8q2ZRUBPyLeljPD1oWXSj5ANDGKud545dmHGAQ+LQ8zJLlLjm2oMg0eld88wO3bA
3EeuFjwRFWQGNDn6BUWM1XFt0V4m/d5VHIicPG4CbErOO+f816UbWTWdOglWCFsnzZtT7sDTIh7J
A6EvqqcmAYhAR722Eo5uV8d6Z534m8c2Ap7DzhPRj7Ximx3FAIOoETx0DkzDvwfYQHlrT5Ss48B5
50jbT3rzgOFIm4nXtl2m6m9uZnJkI5EuhytJpA9kstMnMPdAh2rFboJGDMRw3dX8MzpA3mOr/ebt
6yJH4r/Gfv0rW02meU+iHLDT6KkXPKg3i9dvAPnvlSc/s+V1oz9fsj/Wnr/8rg7tZwZpEACPb75C
8rHDkudcsmzDm7vRYt2jEivaCutD+iW+4b14aPNqiVLVsbihrTOchlREOquVP3+U315MtAbxZqEX
DTvu67dLPsrJgV0xHGYf3UHvUBJszHOAalvq27Pi+58P95uXpot7jK/ZYO/NJv/14Vx4XGlN+c9B
KbEcUgqSwhXm9Tt7xN+eX4NJBlcSp9dGXn61AqAyOmVu3w0H9sgwuacF1akhXOMmvnaa8UGGKV6f
CII8I7ckrUOmARWOOw1Jyn3vGfnrphyD81YGiLnf85239+usRmeFgsiHmcBg4brF7CBWECsITWlN
Rr0b6uaQedKkeHHU37mt3hqFtyc0z0WXk826nRDEm2tNgowwrUYXB2oWss+dJzSHZFkqr4fccPCs
ui2gIYAXOmKGChAYJ7evnEgvOsSIuvc2vRLi/eWUWeg1ppQMcqGMDV//fGX85kEDkx6sK7c+65y3
SSMG0LlyGrc/uEsi9qONOcge+iBmLZ+/c0p+cyjsNbYXYKImwPF29pMXxtD1uKUOck3q79Querc0
lCM+aa7+X/xarEHh1rrbSO2Xp1rXdKvsfCQkx8zFLZwld98qLzmH2c8U8Z9B481fT4+fgxu/eYhx
JMYiLBHxg7+dVJhrkhbtyJFyS0+jRDbdfZ0CuuPthol5qe2d3UIR+/NBf3sq2V9Tb0TBERDO1zda
iriPo9vpDxjdprB2FpwIRY1urhOY/fOhyHbxw948NVlp6EEA5Ja6orcrbh/QwZiuBpeILdCqXIVP
Iswze0bZrpOt4Vkg2busyStCm9Os7dk5jku8YoGsb2vf4ebKLWaMp2RQ1aPZTRjfADP4kMsqyB07
XODZJ+bl2mUJjHjYp1mVopPRuwCZgF/JCj2X1ucomJzZ2CPD0LHmaFlwyDHfrTFefxgUaZkZD+5o
YoOt7MUx99RhLG5sgUswnwPQI/U31CUbTzB8Ejc7XxD8ki3fKrIPQ9Ua6lSRSQfdlRs1YGe9M87q
Ff/UAcfINFw5dTP6lzaEg+TWHXCB7vlnbcaqB4Nr2Y12UIJtxsqYXvoeToZoBJECDt7pq/sJ9FBy
JhqtPVLOQ65HpQJjA1C7x5pUOfn/kUDACZp12oVIXm25V2Wu0rjGNCMuiontJAwipPbqMAxzUEZY
6tRCVBqD8jluiERn7lB3ZtTVzra4yqmf+uThg1M7L6Fge/VBx993Dp7QA1bCQt3MiTfdQxoSMgYV
FXh39PRgThnVlI4nFrELSiP2m71Nthd4XZeuawiDLjg0gldUjBGA8R8UyoCGw8HxP5BWrcKlqlsr
HIAyGSBxO+dY+1gFBMwZUg5PcGGq50rz9TtJ6cIuqYvlqKmiiq0+uB6RD5t+2C+Z19xB5dtNdK7E
hKDyg2mX6F9BWe/TcTqzJjWHZjd8Kkog785oJtFYLNYej+5X29JmisPVwGcQ3sEFoxMHdu4eMHS0
O1bMKxCzAFeM3S2fPYm5Dpd7gUA7fVp71zlOFkb4acGPkVePZNdiF6D7jRPUIjb0Jr8pgf6Go54b
535dZZc47SsgbgQgUMMfl9VyDo5m3Oa4dcDHLMkJoxIN4UU5sqjADEDDK0GnwVtvCc2eemnLXb4S
Ts7X8hp4CVZlW5yVywIkVC+hriGjwe9MJuJoJdBVGuRzvtmbxLfvcL8usTH72X5dxRoqTY4Rpivz
sLJ0vYN61X1s/EG/aDLPj5Ts3WjRpfjuan0TapKcjM/A+uC1rXMSyKY7jyaEE50e5mlQEMQZUpyZ
BMYIWxr70lHPNT7b5yZPjp5j3+ejesbr3MSzTmpfjMlzDTFHcAfW/mkavWY/aSAjsdw/lIGfnA2J
BR81bf1YL7C80PxA3KAI4BWwb7ijR2S66VNBRB85HOjDcAHlxttVCyqa0gA99nN39C2JrIvsfWxq
f/puD4T5VT5jC4nKKZcrYlzbU37J1tzUBfonyisYuZZej53JxfNU45RbIq9nH8HLlIcEZpD5pePc
X1FllTMeSZqdXxonfaSHTGtlCyJi9c/5H228cEPEiWM6arjw1ZzOwwssHW9AHzUTGP3RSnbmRTOs
vV6kxAo0jMDdwdPM9svirWV3tMrKHKPa31gxCneIf6Fprix2peeT86/U5OC/wQcyMKTt8XELztRO
lk0VrX49PWRM9W/MqjAfkrop89NcuCJ2CFBcGbPp79t8momf9wzjsnzQIaQmrCeZ73axt+rVOd4g
8UXSB+jGlUJbL2Ynty4Wih3v7alMvgcM98eQVcD/Y+/MdiNH0qT7Kv8LsODcSWDwX8S+KFbtuiGk
lMSddO7L08+hKnsmS9XTib5voC6qujMVoQjS6W6f2THG29JrxWIcnP6eOVP6WUoG73B8KvUFR3sJ
TEKaJzfT5EQu6BY4yod1zY7lzhmM6Lmt+DmDkmAHr7ViN06Ne2GfGVviYNUjKhxjkKgKximDxJUQ
MFV/olqp+AE+MV7FvVI82QWQDSCINT2OeMxXIa6rRzPHcU9QpesWlmem9aIZK26ORFNMPMVGvPAt
y5xjO9S3OMvjhY2EvORU6parmHNTugHbxJ+vwbQ8FF43ZRnMUKUOzO+8EKwZVJg5bkF9K6HETteg
0u18isJuRRoks9zGJ72Chy6VBxzw/Ir2FNXc+9rIW7Xi9oEJftMdaEnyT6FTOAt6gsdDXkMJNAKD
n6rLcG2I0Lpta80cZ+xEip0lg+CEsVi+IN1p2ARz84RPr7BA5Kbjamz6eNXlPQACIqP+KUlkS7mP
GZgnbqKCm4pvFxEet1HqwqcPAvlWtn4JlqZU76qQzzuM4gF2TjasHepuNkppDKAttOIizXKqGeeE
CexqlO0iLqJwzScbbsw+5ccqJB3V0ih2Uo3cm7Gt5FuNgeipDfhcR9sufuSqD0tqpNUUrzSctx2A
sWHduHX17naVeTJwhVCSm7v+qQ8n/mlnURHyThjEcKChaDBNaDjqgFbeYCLV5AIEnz9XQATT35gF
UcYK1XjVjBoy9U6qg3kCKO7dSyvwj5bZ5C+Wb8WLGpQLEDdCZuqsddhEmo2uLf3aKXYDSNCFT/Jm
X6b88iTM+3sqeVkXfS/c6JK/LYXinxq3sMZZ4NCXNcuEw8RCL5It/aaYtWsXEWeBWcbbBWnNH6Bi
yJlB+U3qRTTKHEck9zkyVlY9DgOiNSSA6t32DXPueUOyVct6usob3JvMXDTzFp5s+2DkmBiAEPAm
E1PEV6cu5aseBdat4o4FvOSsC07Us2TqrDKy8ikpxv7sWFXzIGQfX8Pp69ZKz7nBwQiu32h5oVgZ
Vph1MXizyQgwdvGpOVEwnAXtrp9izMO10hO9mCHae1eyIsYW8112Y+kdPzEf4ytb9v7eFUxkxo5M
zG4skcSXCgBcfKnIfHOvwbM6Q2+pYP5aSpfNLSUnOESHbaoQ4rW8qxFw5JpJiAvDNm1bOI5Bw5U0
KkXJ0msZXGmsWcEpiaNchSI95mcFyhvcrCHhuxb0y4FG1XE3zmFAf+aOwpmpFSnIm7QrPpU8Uh8M
Hy9721Xqh9VGBBm59YoLq8X4mWuRpGxMy4Z4XkZm84GXfjT5zmyufSn5WCye5NVadLFazuh5Ve9G
LVGubi1YzWyr/eilU1womUP4LzR5rNtBPkMRKy5q7fgnSgCo6HQbh0ScQ0atCiYvvsP9jXWqfizC
MBOXEosda3wep+Y2J270yY7aPnAm9lay8UoWMXpO0U1rnY4+T3dexsqpj14qfQyBSbsxrJSvhsfm
jV4acTMzbT88W0YlVwR3q3tQasRjxuCz9nP+p0pKufBaqb+Zrg+aQxL2AUQLbVCHZ2m2urVW+bxm
TDQNLEQl9yFpwOFKd1t/ZhMCcwez9oOW+MY8UfJbYEmH1mZJJA4QcpaBk9iRRaTnw9kBFqF5LpUl
LxtbJ9ER5iGoxrqhj4zXRagcegvKXTaY3q3lafnW7cPGZ9FNx5maMWwsVFNs4TXv2mEAS8i9eRB+
V95kvp3t/CADB67RUty7jP+QUF9dk5wY1Yv9Nc5b/R3D5K4IhcqSRqx91KtimVmqnPe1se/7yHhk
vw1shjqqN3remDPlNaBpRdsWXm4zLQvYkLZRPjw6NBVfBbYuzMZyY+VJsXA7hVhHWOQbyE2v6H/p
M0hL+FzYiToWGNDYkcUJZ24PgxFMyLpqGyuYsAFjkblPDbmqCC3tU68BKJVo6YV/sRHlPeWuKRSL
pc71rw19CLPG9OxzQ7YFZ5o+YD71jFfczdYDicVkE4b2Qx+JdI1cGrAPZCsHI2eAnxt2wSF0EG5y
Vdt6+qi+BcLrVuAPxZo2R1oow0ZfdC03YyWDGpYbUqE/DNaezYXxGBkmnJ0+X3E7sQDnEadT3yrc
NegO9xNGofbYS0M9uqk74lpIjTswczjf2cOuTNYufrUqeVBN274MtMeuzBYQwspmXziDhE5cnyaI
j5FRkzaXfh0ei4jLIMwoFgO+k4GqlhJHt5GCg+0l4CQGCDN3hBHU2BYbesOH8Tz08c7vsk0dA72f
mYZykw9RfxmF9liTplxxK8J+GSM2arAUlxRNHlPD9O7JE7HNwKoaswRGM+nU4dUR5bgAFunsqyGc
gGUBfr0knkFENU+pNGl2CTpXZWiRjNthyNuDZSo8dlJHibnhrGwn/R7Ya6QH+YwI4hRLKzOOpfQN
cBsxQ2sPgIiip1QzrDWOuoxHTg/BvRglkkYTKv158sTeDIjZnOrsFkBlQ4f3zu1CcTVtY1dGdr/x
2nre0t91SPiW91VGILcy8oThaFcDeK/qG3RfDPhVtKHv0X1ymZlyznkt82zKm5ojBTWQRgnDB86s
bWv1iYRfuc01+00drQ+vzIsXdqzJC5a8nEWrUu6pslNWetv4y9pu0gtNtc4iARrF0NutR7pISSez
Heo3hArbcAebvTPwneNn3tixSmqRvqX8pID8Jd452PkJ+Sanys2JfFqnaAAbuUbNiE6wKLtoxD0u
uPnjBAgmCygljfV7UmniLaui4B3EFThHTeEHFrgAdmYZ5beDoTndU8mOh++N+sQV6SgAnK1i6dtE
OjxRXOrBeFqinY2JSrDMR5AkNRFqd+yPOZnGaWDs/Liv3tMY0ETVVIgI1dCkn7GRoSpUeGFfRBWp
b/R48KTHht+fq6L3XjCJcgin9lqBOjt61btiSiWdaWPr2ssxNrPbpOhZGKqg7/KV7dM1vTLcDkWj
6QMuj0Br2ODkGVHmwGoIs7qQV19M1eTvuLJPSjoWXXh8Ria4jDIdqibOfN4lfl/sUosMl5bNIabn
RaPQyKp9OJo150aRtSpWf9mF/orNKz95hHGZb40O+XERGBRareEpsQWomZDCDulT9yYKhEHBW5my
aU08i29JoazLol2i8V7asoW35DcguGZkatNPrYFYOWsKHUBHB3nr5c8P02yxBmPzBgY3p+kXZ5qt
0hE+4zyRr3UaOeeUZVTxHC2Ij57IeIbDFBfqOgkj5B6cBSEHTGjxG6miAp20wuzVFSB/cz+UdX5r
djgq+AqZt847r+D3i20TPaSUIo72FS6Gdp0OGD8Oblu3n62FNjprNMAJB0tRYaMNrbbOGoLOqepS
14ajFdS5dMQdmb1qoFvaICNuNPzSG60VvEd25bzrMPP48qyhzxTmf/RZEcgPuXfR/oNhgS7Dp9hC
e6pZJLTqPeT0QhcXDuuboWqrj5AMfbJ2m5JsbeNODn0REyKZJ4L7Z9bxdY6bDP1v1wEroakrr9nR
mYEho63AA58vAYcnEYtLCJqOe4oDNw9hnl/ztJm4jxlUTdAJI1iVU9BCIy2mLWRiZxowP7yB92pE
nWqR5GLHTLrcdGmjX1Lf6W/wMoUP8Ja7+04z2j/HYP/xoP7Og4pdkdnZ/0jDf4vxbZMEil5Y/cWE
+udf+ocJ1f6DcwbuOZWSdEi1k0/wpwnVVf/AEGI500wdD9qXP/UfeT6oR1gqOHvQXsLPM1Cgf5pQ
deuPybWClu5azHbgLP07JlTsX39VenG+4XF1MTISNWRs4U5a9y8OjtAK6bhWq2DXF0Tz2IRB8TEj
thAMxYEJwPMxkMwi91bGBSeVaUbgzUXrmEzMKlrdNyWgam/u5Im1G0fb8JZJm48UQQrRX8C8psZa
jUDsXGLKcx8LniPmnN0rnOsBlhpZX60iidylBBMSilq0WZOKkXgLYxJ8/yAecOaX43ZUx9qYZVFO
Sobip3LZTq5HyBc5YlPlyRb8pVK8udFg/3CIRixqqIdLCHJUbJDirSuCBYg5C/iohnbjanWwqNzU
OnQUxBE1bK4VysLKrhiGzoakFRCqLTW8lVE0XPpA1Ecqf9NrGrGxWdr007EhdKa6hcwUPlDGSF4T
U7Zsvclvc8gZNj7WrJ0mS2gBgbPuQ41MV5CHOQgJE/5BFfB0rDstVhe9yR7HqG3tMXGZA4V6mdyq
Gjq2GxgvPgeSk5kPVImPun5utKjctvlApYKqnQMLciIaDuWxQ2jNekizZ91WKLPMuqspOpD8ScJp
XfZ28IP9uVwb2FLnJSvzXk1TNuQ48q9tqdt87EHoH3hoGscuyCiOqZuxuRHdstBymp1kmX5GreUC
JDGGVWXiQ/ERw66YpH+YnpcvVI9tKrQNmpcgNs3YpDy6hkKLjp1mBP1NSOA5DxEUpNuorPSr3rv9
nuRFd0a9Qp6IqcDB/vlq5hZRJr/fJwJQs8nuaWaht82oclcubd6nt0kZp/MsBtdEhg8yCJ8Iefb4
QnkQKPw+buZgJar7uB+9mVFp/XFAQ1xIxgNL1eSdKhwFFqL1/LvRsXn2Jc7EEIiy3OXHRlG5FFKq
e520xW4QzXvCnz/5dKhfiCjwyEfkda82KunFYaGdjaUXebNJKz9ClajnkWyVdcyBZD0qTXYVGle0
bTX1DbAQYwqZkh3QIVpw2R9yDMrPbQlXdqnUdbAzokBdoIolxUwHMbsghdCtm8iDAFM0ewtT+E4E
1qElZs8myMqQYXIngs7RKxs9o5GRlAPn7R5EJ4k7pZ5bY/2g0FUU0OLAzE+sPIoliIHOqiJ7Grom
Ogc6ucyaTf5Q0gefGFe1EMkyc+SPigzKNo3yBxpI8XZo1UsKcXDF464e5mlIoYzR8fScvqnhneIG
3KUqlpCxEY9G44IsJRe2kV2rHDrHdZdeI/1FJIxnFsPqRFqsXykVSNok9k1S6JXxYCAwoJxDh0w9
zCwKsU0rUnY23scZu7xnDqnFsiG4tk4QDNnW7sY6vKlTkJ5FjbMwo6nEq4ixW+4M3SvFBhkR3if7
tYqpxgKkGlVXABvJRTqmv8XJgZRLcneLh66/pH0yrrM6Zp4iJbH+uAcFULZs8PVuWw4GGbcOqsyl
M4Bkg1bbKMVgHjtoAVBDZjS1d+I2ixQjcReFWmrRmVorPb1hi3FMS+ctL3JKfa3RvYt0WNZYqWME
qNA7D4RMTpR9vlJQb2zhraKwheqrJVtzCgiJ+qUq+ZURJeWCiiht7ydZusJGwiUt/ISEj5Gg8AbJ
eWDZnQWkUoFWgtSa29nwMjYuQ2aP9bltuAbDoR9e3KHnSJqGorhFo7nNBIgLn96GU84GmiGMmzTy
7JueutUBheNGgYklZ4kJKqIao3wLshxRKKTHcQE0w73Wkf0pc9HNfY0tXhc4CRKGA++EGW/tkAnP
UtrIjBAvAvVxjUmoGCw4CbYRUdjRakqlAnbhLO7MuvrmIUiGSjU2Q5t9AeeDhmeLUvyIFc7xsDgi
Jot90GnWKS7pUJtFee9s4saJxpveKK1LzwP7Vi89bpG449LblnVrPlXUcO+CMSWXim3XfKu5+sO5
OgXZ56ri2QZipbSvBbMqDbiNKHc5yYldMQDBrt0oo5mmqElR6/6JjujkFlkRVnLZMlwDKsWF645d
8Mz0uVq2mpFu1NAPXh3M7vToOSXOJn+ojRtfL8FQ2YZEqh87DNKtdLg/9LYFJ9+PykWytH+CIBdE
JAytO9RtVZ0H6gAFWtrQl7NRzejdQemCpoUxqHkEO168FqUIn3km++TD0uZQ6WN68lrT/RQ9bfOL
IPH0q8KW+lEBd3FMhb3FFJB8pKluvZuZaxJzCvSiQadok6XP+GxrgnFNWW3nFfuHYTHAOU6pouJT
xGAWOA9NO5g3iVUl7xRHRN4ubTSm0FS9dxevMKwHniPukqoTf9UMg0aPhW1LDw83JdxbWhr6H3EY
ugaLke89MEVtJxsQZOJ0CJRzGFkVtlU9LZ+Z0MRHPZE+cGNSfoTO3XTcuuDo3426iK9g028TwFja
PISduI1VUEiA9LhZ6WwoTmOhcyyoviKr2ld8ddBccZBTppUarO6D8q7ixTGQEbKv8Kviuz525ikT
W07pWIa6HA70KTNrTOlZiDQYM/QpU9t8xWvtKWnrfoVuKSNutvIriht9xXLdKaFbfIV1nSm3G31F
eJWeNK815Xq55zhANJog7jtMyV/eubvUbdLA3lcwOPsKCatTXriZksPg7MWak5pN6dMULAYPH61Z
nokbm0w85nqs2TfDlEZWIT6RijbEYpiyysmUWp5KbiYPo0F8lkwzCjwtcAHDjRkejQvpyHpRmaSg
k69AtD1lo/spJQ1rksB0OmWn468YdfgVqcZZlD/FgyazZc1BlExcVIwfjMn1gyfIZBNceTOmlLYd
kNemFSUnPTiFuFniCXTDxyHczVybFfEr8h1iVjm4JEBfWrMkER5IPDuab46MovRBf7O7MtjXU46c
1hUi5c5XvLwo22qW5RoN0xRfV5DXm9jZIOAMMPC9op33WqC+AkBHospMimgMr76Ybg0rKuo18dx8
Rd39KfUuvwLwzpSFd79i8d5XRN6Z0vIMFrP74StCr09p+qYiV99+RezHKW2fTrn7yI/PArbMExnF
o08MNp/y+Yh1y87BZZ4NtXsxapeKjSnP77upHS5MV2onhA4FhpRvrwuLjcXMLFvjDcs8aABjogSA
bwQYEH3BA9QvkIBahQIVz/ePVa2Nyw5HylYD3r0eDbNejFJPVo0QcBGUYElIMf0IvpgFYWPZOCJI
EgAsA2oQW3V575u292YZubdqv/AHfJugEKBVNwcC8fHW/0IleJ4JNiEsfYaU1GBE7wRliErCDcpm
UgkSlha9O+S4Oh4Tr0/uwgnGICYsA3j15qaUE6tBJSeyj0tay31ypkHa+bQKTmSHrATy4HzxHsgn
xE8V5vZyFnhdyzwhNEGsS6mR+564EbGiyl3H+f6G3zChiRTGhDfRJtKJO5HKgp4RV8+2ReLrCy0e
H+UXo4IgYPkKHcw+01KifMAiK7dfR7//nJJ/c0qesJicGv/vU/LjkKdh5v96SP75d34eklVh/CFw
69kYFkmcfdmNfh6Sodrwf5Fm0Cd0za9BTcMEGsx0gJyfbVhMajlZ/zwjG+IPKJiMrwDekDrkEfXv
nJG/GSmFA7RYRfoyVQ2rl/s9v+U1GIk4onXHJn33ARYEydsvn8bv7WR/e4Fvzq6y15NU9ryAAxsy
4EHbuK9he6R+jkaSf/1SXxbEX4xdAqQ2vkhVw37rmvjgv5lQBxUfk0lxxyEykwHj4SxVwNPiG3cd
LS7MlyrqfedHkHswuNeCPgwFZTeh4TTbEZct/PSdrazDcJojUSBcG3ygL9ZUxDUfxGicML1pSqNS
jL2w5LhNKjfySsaSYthb1Nx4dwNEyYiukF1VR+o5KnKsNAMiP5wGjVt/5qDV08vSchggYdTqbk3H
TFoE8W3han7LsM/IKEhc8CZItYXWwLYjazQe1zK8BwPZ7Kk5YtY6Ml/EqdWGiZ7u7ZoSNLO3xqOD
iNq9KLQQz2LFT3mM1FoJvo2k7omYkxz3ESY7yoKFghC71NmfuCAW6jiqe+zfCRPS9X9WjawO6+E3
q4bG5A9/7P+9akyIrOkfKb9Tsqa/9w95zfmDxYPwJhFcHUUdNewXeY1E33St46T8qatN9+4/dDTx
B3ocGSngGGQWbXi6//+/QMD7H/nPW/ZPQvz//vevjtBvjvqJt6vh2/8iOpOo/u6XbETtBHXL5pZ2
pvEg0pKSmIgBI3QHF2Vd+EH5o2/a4odUS+836F/o5d80PJd9GbNrigFZJWFz8SH8RcOz6R6LGdFO
5/XxQHhuXClahaoxptJZmHUgNnVhwi/SIFfyGC6G2MCooWU3uZEP92xcsWCwReP+y2l/gDOjDnk5
jz2tPwPZwVxDl9nzKGNqfoBhhM2490J7aKhFkdpSV+vxQGRPbHiXE701MPr42AZZ+2FHk8uIMTkF
vjh/qllEZvs6dUAwrvf6NalRJjs271eyZSNeYXi73Oz53Kysz254m/gXPBhOr5j3OS0KfJBZAy12
wMSnzqzAUDK5SQbcCuWt6o2NsnM4HKqYyPiW3in19K1V5+LKepgUn3CZNj7oR9CCivnM8jUQj3U7
NpR4vvQY0FiXFrI7F5rdBDPbdzr/SGdJgN0qHlT/Cn3WWokkTgtjFvqpcFaIl7VYKAG+5C2AEv6k
r4IpferLWGZrMEcWzaNxSI8G5rGY6tvK9sEWO6PucBqyVD9k1mt5mJmx1Phv6Tj4pxaS+jIXY4LJ
0B6KqdOpcJ4wB9UKKW8KQrqssNeNNS5q/muWi7b8YUZFe7RZZyvMUb6+SSxdvYyhli86z2uZq13Q
oJN1WqbiAN0oWVPvJktqd+ZtYhX4ZbpVYRTyzEKrccFIWyAAUqmHTd27tBw97yFTxTSr0KJsg0Od
6xhyJnqN+aFkfXR1qrqfFQDGYKkqlIbj492iwOrPkTkVvwZBDhS+zLbof/UOsOFGU9XkGiRRfGlp
7IFFq4DIzrpiraidtaOIEQbUcGdDQcUr7rrVm5njfEnjwF70uh5uY98C+dPVLO4iqZZT2GkejGFy
n7eY1wpmRGt6Yd0fls9geQa/OTozSyxe/RYKH+PoQRxdENI0L0eqsssCa7K8icnNUUn6VYpifKDW
+C5SpPYMCU1yFjHiHyHh5wcLjPDCwM20IsdqbLFAtlR19ekWqejD8yrndexjdekiigzwOv36lZa8
ZTSG5JeCzoDx1e2xupp4YqqEoeyopzPL9/JN6RvxNndV64B7QX3uGSvS55SBQdKoiSTPkVDlOoBn
M/LqriJXfdI7EwQyTXT7DvfpMXGScZP60rxIGajHppURh5EgeuYbTQg1Nvq+ycFtMTfDwjQayQ/m
9mBceIbbu7DUx3NhwgVNa6bDaSghL3nSsa9DVKf0Tis6y4rehwcHUezCJNaidZVbYpP0pacwgg/p
brd8/dQ4TXWDqhw+9lCskTYGam6RjcJDHcTFXRM33W0YWnKnx362VPrQfWYYGz2UrVXvazN3lWVP
ae6OrPWordQ0SM+mcL2tHPuOIAGWe5rpQF0XrflptmWBqm0Nj31EjaTvKpBcZLqtTe+Q0JK8wMMk
oObgHVAzf6u5cj+YYkAx1mcyNpp3Ove0mY7tciPwM6DnS8RsmrggLdNsrgWCvGJvFW+S4cReFB2l
xAYtOVZmdJcoN4tjQA/6hkpu/eIN3fDU5OGIJK62yIyhd+pz2TxCIlLnROfSBfdJvchRJjddwuFd
GhHqW9rk8b0MoQ/ztXO3KB0UaDuW7zoK2ho3KJ1dvQfutoefOivSsj7baptpiH+DNY80DklOZWqf
41RtOhOWh09W4AhyNXx0fdweAi89033kHjXAek+aw/0/UqK26vVBaWeU/oiDFcbi4Naxe1TyVLsM
fUshoVoN7k2eq4w8k/6UFA2eDpUbdddArFuMxkQs8bq634ax6u8wmGQL38G2zoeRHZqiJsits9TA
XdsrwPd2WmGoJPZSU5uLWkGZKazhRxB1CFsdWHc4cSDKN9VAfQ/9YcteYJ3gWYJ6XOTaS9S0ITtK
EwM2Z747tUTP9e3aPqJI99SRFyOVjkNc3FdZ4x570x4PuBiVV0x7giea2l2TMKezkrvHvsm6bngf
sJdB5fMLc5NlZrdjR9iuyYG2x7Yu9Z0GYXflhEXx0JlmdYa/7S0Gox0BOfTBhSebfLbcJn9z6sz+
HEKyEDNr6gZwXf+ddvZoaYSjCwFPYup0mj1NwuaCQ0s9V3Le59xVKmXLhjTCrFUl7SsV0yqCLj5J
4hWjEu2SwCgevCarl7kt861jpozeTCuKPzNDBSBGkewjmp9lLamlTN9033fWGVLqoVE9Z986GcZr
iqy2gets3CbWcJhoPN+YJNfJsTaEe4qctDrE6lAv6brKd0Wu1AevVugfNmLU7QRbm9JmzSMudoqU
pdtONnvKAmeV3jUXcHxULiru8CH0BtXXbUIe1y6f8T7pauUuCEzruQhzlp5YyQ1Uctw206ItkT9H
z1vCgchPdpzpx1B4GctSOyxiJxmIEnims7ZrCEBcE12oI/zR556q0MT63HZeYywkK0H3p0Hd8kEB
GHfr+DTU42jUbzo8bSyDgwbdbhRz38sO0xe4KxIdE1mNgZBhAZV7hXZooI+icOTQO4OMjSFix73t
1C3958xNSGKbZM6jjDpei/w8zLhFElOPR+2R3A6jqC626Rs/6qCkD5zxx7houta9xQkjp2iDthIB
zlzTiwJjnirSOKNJTRXEbe9eEj+z1zRH5JQb6DcUIjNOwQkoDoVQD7VhQcuvNQcqj1J8BA1jFzJj
nbsBioEnB1frvEoq6t+9oTrLMZHneJDFJgo0bdNTlTQfSX7Muw4w1Zrss/3IXkC763UGpMi8uv3p
pErznOaOufJi+URkhSFi5F50rawifj/BLId9SrXB1s64IKKbbNfJUqESGSV1zom89HhoF+OPkNkg
yEVa1ncaTji4lt1+oLaAS9OoqHADig0SOV6pIQ9r2HVGtOowxUO0o/YdtxmL8BGCfLGoihJ4eZme
Wtyocu6NwljzvCNaYDQxnQb4XRW6Ejdanjgncm1gyIUdPrNBs6o5NY5sQAZv08jIm/tB7DJ3UzE4
bSkWVedc2cm5y2UbzEujj4DJi5ztK9j+ZazE3dUq0cS6kVmPJYbshBut4z7RrZKLw6X7Cv8laNdY
Y7THsgJMhM00vdc9sDBNdLetSPx7EefJPSYNZ2X41WjM0QyKk4xrdz/GFrsVZipbYUtok76IwIvE
oE3bmUPNdNi0ONd6X492HD9ptwxbNaRB2IelmRaaX33oKYMxgjdxPcAememFc4PATyiodsqdmQQF
1UWVfjCMcji6RakuqH3257VfEA/IunHps/F/GlHfIsO6862wWzQa87LQVPktjV0a2+pLaBvarBwS
El2ehVfRTq0ndWy17aDg+W27QF8UjUJ1tT6+lsHwFtrKxZEEbMBTWQBSyQpXmDXnmF66tdAV0Bb4
a3qOCPswUdNlEvn3fC2A8nHQ4vZ1m4WesLlRkvBE8aV+qEzjWa1o9p7gSqiMFFnHMaFSmSZ8MKDs
Zkk6ULSp6wwbATliIC30KZO1ol5m2DlhC43S0B50msLjOUYputIwvK/Qm7T5qFC87sX4JZnO17i/
MNnjCmXaFunPg6L16yjElpa6ztr1TPvUW6QxGV7Fh4zL71Wp7KVmm95dWlfWRlIcSUl9JQ5BmoQg
LDuDwFXJY64Kwm0obWdFdQrG3Moz0fYBJTCP8I9YJXmyw/A9YQJPFpGTACOvU84JsmRaK+3fBfn+
fiwFHY3UMylnWE++87ACz6A5grb0bZRO4QkaOsikjQ6rtAkT+dYQGSdS9lIZj2wRL345rv8TWetb
YJEzsaURMydkg+IEpeqbrDWGGV3towy3ap+XP8YInJkMk+DkkM25/uuX+ibRTS+lA/zS4bYJUD7f
s850YkT02ae8FDz+bMk9MiT4FP3841+/zve089cLITe6CA5IaURo/3rSjnO8wGVs+xMRYlgFTFO2
1hQ8SbKwPhegldyb1g1EyJeevkrb50TdjX5wwvo6Ha69gHf39Zb+ozr/Tj/SicH+8u39zZt1/Oj+
33Nexr/Kztqff+mneGSrfziIuo6NzWqyZtlcwT9lZ9v9AzEaGy+aNMZiPAP/oyF96c402xEGtFXU
50nr+V/d2XARiF1VFxPChR/4b2hK3+8fh4t68mTpuMRcx/pOJ1Nbq2iF8PMtI6Q4pKjeN096Sfhk
TDrnN/fqdwVpei1AAYgikI1Rkr5d121FiVbhqNnWJqBzRDxVj1Gjuw8Dn8ANh+F/k0BBFTFONEPT
GOrBKqNj5K/3UYm7w8atyeulKpbiTkiMl1FPD1rdT+mK2mO/pfeOetdZOHx/uQ7+ycI0Wdp+0cCn
F2dnYFFLx7cH+e3bL1soosK1jRoxlnX9niYEcmcJZcY3Ax7Xaw9Zhe4Q8btf+Z98xCafFh1o8B7/
LhHiKY3KzrGRCVJ1SmIE9TttnjRRuCHJDF8M//YLWkisgpfj6kV/+r4oRkLp0e9LdxMoXr63J9Vi
IB9Hea6uvOheaz3/649V/dvnahNfAICAzMeHq31HQWDbEKPv9S0Anb7Armt5dNKMYyHY5XQGxla6
t1UKiwkH2kOsXjm/Zw/UVNndPIB2ls18u7Kv9aBpDdYKs2kJEATVjYpV7GnQnN9cBcQUvl8Htol1
nXuffKjLzT49VX6xPmY86/0orZuNCdDJuFNSzfT2lZ8QePfzSQIpfLXbqUT5EwCyUwkP9+BwVWhS
3mg4sazdVyqIPQnVNZgEGN5YCdcSROh8n46OeuzDIA12rdCoEfkq9CGSyudADR5p1EarEGOVMqTW
Z9BGZyXxSB+V0lZKfE4i30tl6K9qbfVnjy6yBK8ZgcE3h+prrMrl2LfUBhVatC91sz9brBLWInSo
Z91EolVAugQuWbFSK7nkvKjAGGRXVB3mGNsDVf3gKp2MQGoYRj3nDbc1Ln02dDeZCGib4rhOlg9+
DIVF00JA5xr3KSP2/qxw4j+7cVE6REUK+dyQ5XseS6FvrRaILt2VrXxmPN+eBSUY6dwtRpYvDvM0
rqul+eqUor+SzSRVkLaefNaDur8qSHZ3Zj0lrcaQXiWXJpQtaOP+2SJX2jD2UQlasJ3qr41R8psi
3nS4EipekM4YAk0EdOhcczrzNWn4HJ2x5XMrDfWucfnS6GlxH0ghm68EvPtr6FfuskA+01f/zd6Z
LceNXGn4iTCBHchboDbuqyhRNwhKFLHviUQCTz8fSu2wpfbIMXM9dkS7202xCkAi85z//AsYMOlI
QhswuEeV6MefazUrUqDrzMEa8CbfVAXwtjc83+Ni7UVheDLOCtmDMRBhfClQUNUXZW/0TKV83Ggm
WBF29jlTs3gJO/bTnSwnUnSw2GGdYHbsvrVj2L1mKZn0aQ9vX0DBIyamLkAoCJwpiIfvjNgFxbwa
MOdGOtm1WA9OyyaG821uKW83YjVYbnX8MzlJTVs8qMgsNLHZJlmZu+1aZ1dUMPfb4XS+/66WGE5P
obvPEM/gz2VkY9w3EBPOP0OEfRPXzAbZN9YMub7qHnBMUbs5FeJAgg4LONteD1+WqLRxCEiSKwAz
s4vVOE8IS3UoHh0MQQYnkgxoiWCvQrO4Rec6EkkX1qWtn6is0WxD89WJOpBbtkSJY/AHyGWzzIvZ
koHSEekdJG+NI0qgI1zMYt71aBuTRwK2vQo2rQdZoskmmVzbq1gAY+z5XeFtoPBEH9f8fqaunz+P
3P6MVKdGHUebbihCao+qMVTQkqDvo29UHvd5fO6cJNvrLYUiaQTiSnCYHmraxez07gH/KefWg3EW
KzWfElh0Vwjy9LMPehdnXcLIwjYWsq5INyOj2Poymna/67LFj4CnrDsDO8PHmaQi5HG0bl+lS3oZ
62uccZEUub5SgYEWMATJiSaTHjcyW+aVw5S+E1pk3SLUDi7Rsfi3ndkItB6ri462mWseuDbGNlqL
ND9uHijvIs/wORiNKc13LG4B4C7xCROuGkXECCt5cVBtNDvLcD/JLEXJOfRvjRWQpA3r1j312G0o
ftBh0Q2mYkktJSY0mcU/ROzL+pFjjrVsJ02Wn3wj4ZRGO3qk5elePUuKF3hcwIcMUGrI5ErpxxXH
2pdtMnOL4Kx7XfDPIDSvnN80uVovheezYbZ2Cd5uFp8LIiHICFs85yIxSQLPMZO6CDuB7ZYQSbPj
GG2ffa/e07s1u5HLSA+Wg+kInfBqis/r2Flf68EwoI0TFh1eQCWjtY+tbtQHKHjYjfsMyL+tqfL8
Pa4kl5XokuvZ6NJ70I/sIg3FM+rq/qWSw9tS6233z62XsaZlLUCmbyGzsM/jlJBf4plvf50MWAIx
tDJwbjEHT7YflgHWDfOF50yG2jlzb8W8l9Bvk3YID6jpmzs9ISE/rDSsdRZ2u1aP9NKqzrCoWGzo
i0bleiqqnYSE2MBwv1WWw893nFjDJy8TNlmW4Qwhryfusz2sIS5WEeSZib57LI1rGtOJW1fDzF2l
l37B5IFkDrcBO8kcc1dwScfA6phKYWgwvkKjpBbppIcMFf/PuLQUj7UXCF5zDPvZLNwqHW6HcFwu
SMcKoVovHAt1S5ycARPw3axQyXgJFl4Yva8smn5ipYzEq+1SbWxLaULlvUuz1rp1gPPyqMd9lZEg
9vwvyubb+BLz63Hm0cRVhTYcYJyePAqwX4hyoHLS68qGJaidVFz7VZfXu9QmUbZiSHRaMsU+qLx0
HI+0i+G16CoDkn7LJxccJtDj6PfvO4eP9725xwoDViPAPR/sJKv7ti4FG/55CwwydLt7RlLb0p/N
KruXcxM20dTN7vU8TSZMAI/Yr0Ea43sDCx2sDGNIINK1996CivNxhMhFABeuIsRr9S3E8Up6ARXD
Qoty/Pm1rAam27HPCiqJxDA4vgLkhFd9NQwntaCilmpTt4WzQFJQgXDY0F4bAh6X2tU3lg9YGZuD
aF9nu++yO9tTfOu87rjWWa18ZDPkS/DIXK8Csut86WKlXGVpj/RgDk0VBAj/XP9yKseij5khL0+J
0XqvfmaxsS4DuTVAfjqPympCw+lMVvo8B8An7JuVf+0yxCTBDqrWU9Ua5mU3ZcaHHNCXZtMMyZzv
TJWD/4x4sTVhDlFYDZzkvZDWszP0HE/poMnUHAKXSMBU59sd7RmfQDbGvySe4GlzYA5sVU/J9kQL
nATe1qnekhVHHqNh9XQNEODMwdx5QP35HkPCxHyxjMX1XO4TpeWT7yA7fiKRCbVJjKI2zcLHqsQg
i6OqEytYUpj2C4mb2H+m1qcipFpOj3qWgIQW5QZTJG+fmzDA46Sq852cmXHPEE+OtSGoQQJmRJcl
fkS3Ti0VqvgML5Fs6UmI8cRlhWnADY+/f4Sqn12UKjO+aEMgsZQwSdWYcfQsYX1KmSwitgmMQzXN
HteBf0uDqiwyA3HlLmOCHt55SEO2dGdIp4NlpqTmrlZN7JTuL1ol0yiVlfXYuGwxDInItSoU8DmU
WBlJvy4/YLR4h1C1CXFKELYi2StU4y1RqewKH1DwPoxquRMau1jWNYXB1Jt3OGCYd14NmxFRfuyP
S33SGBztqY2TJ+1PJIBwiO6KPpv32sVKwSS5jsll88DT5lxudHXJyVcf3bo0AIyRSIR4zaeiupmw
J4ZLmy13JgP8T53hT69Dazu3rYLHEDupSQGp+2MlKvSM6t6prUcqv2ZPwoz54eFdcekgkyB7oya2
BbvjJpjdJDwZxfrD630eiDvxCh88zyEitp7MqqXQJjEaO5wErujCPIkdBEk1gxEQduYNRXuFDQAg
t8Pc/WYsKxZpnbHb5D42HZCKmPhG0BszWNmICrAKpOz+D6341nX80p2GABEkqwEsWEAQv7f9AK6F
4MTrTp13LvqVRt85bIXvn9u1v3U/0M8xEzWZd6Mzo3H7tfsRSSanopXQJ7B2YMwSBNZzD9O5glhu
tdC1ttblvB3++XN/xyT5WIznEL75dKY4MP/WddGSVw6k/e6ki8p/k0Y9nOpRk606Bxn7V1s3y6Pv
ZxtvRG1V7p8/Hdzm97uL2I6umBecL/G7990yIuueLb89zcxo7QjQFh+bbdcFX2e3l2nHX81uoC3Z
Km9SFNjcz1/h/xG7/4DYOR442788rb8hdp/fQMfxwWibf8Xs/vpj/6CKWugf8ZvE3Af6CMgcy/of
VFHyOQIoUMRa2GBp/5BSkqO49fYbBPKTD/ZPuM77LyiQlkPUh42LHyyy/ztcB6gEqoNtD/aDFizW
v6FKa7tu05HJf6hVRUZ0k+sJTdoo0eXN/fj1X27Mv4Gwfn2Jzh8G40vwHm1+gH9zqk497SKOlu5D
ZmBY0rjM9hapxEuZSw5aSLbdawr09iYUrrn/h4+GVrvZOQab5+ev+0ZulJaWreU+nBX5jRgIYFXL
TD8QTD4ne6h5r0Zz2NT3yaYD//PH/wqjbVce2OiizU00y4P7/eNtJ08bUVTOQ1VvqGhoKDZmE7Vi
d4mpDR+nazyY/vyZvwUc/PWhLBWwIlDn4Hdf0aZrkinthP1AIWk/N7Q/F3btk8UKK5CmfSuaGWBt
u6g1YTfDzirf/Y7WpTLoNOLex4yHaQDud6OxOZWtKwUnSBrSgcRTpnWlGCdQK62MKSO6lzrb6aqh
Dv7zdfy65f+8DB9UmsEMm75z1gL/C+AVznAWkILaqD0M1gqikgsYs6U+hKO2ns9uFHrr9P78qb9u
uX99quD1CEj1ABz8bcH4hhkU2hush2JrKRrcCI491hUfZqH7hzPk6rmddQsJHOO280H858//FUc/
fz7DoS2/xNwQ7t/ZkUqILX5DW4xINzRke2EWQXWdqt66/fNHWZuL+D8P778+C+9RNNt84N9SYZIl
kA2yBOvBxWHh0egy6luVW1QYieOM7wy73TcFNZq3czNVoD7lZTEwBbkv4CT+h8f97y6cfAt2S4sx
wt9WrQ3hWvRmYj5MsuclcYOkaq8R3NFC5Q2Tqj9f+797SQK2Pd5L/ht4v0dWWF2BIZCjbCh0ElML
NInERW+H6BnMrAcMqBw10t/0Oatc0Bzc1ohRUyIeLYzDrGJtoQkBFsDH0RhBmnZ4LUtF87NBoFmm
ADWapeAt88JGz5fM2abq8OeLOJ//vz3AALcN18Ri1cH79LfBRFGlyRQuwnpIkgIceA3oxc7rRsu6
ex0GrHaqcGbLXbiB59YszWFqxjCl+lN3BkmJ9KO7XOeV1s8CwHg/A55//p7/ZhcMqJ6o21y+LDD/
r5uwQYWt/MS1HvAY4YacbzO9fPdqmaAxdJD/aWVvJ+gvK9s3PVY1Zy4FI6PP3z+xlqldmOUyPsy0
0FeerL23ROjtLw6N+YTT4v3g+PTASZ5QxpmKUNQIkpXAO7KkjHbQP707LaBsYbIDmAYvAemObJzb
mjjfopFTgzSjfEMB4PhfnYdPBm3LhR1wQSSqtld/vo1cwe+XxZXwnB1WLjpWTJt/vZErw+igx3f1
oWWVkGy6rMOugF5z1zvVIk+NAsHFaUcVcmd74BxxruokO4gszfEF4neb8aI7EdvQ8PZmLYODWlND
njLM20g8tgjvjIicTdad6ayC0pLAAVqdOsUBHC9OiG8picYxHhLZuDNtkzejAEXdcwRgjlAW9Cxu
2DUPsMCyq3CsiZKtw/ZWFUnQ78J2AF3FY9X4Yi1BeWe1S/XdLEfscKkD4BktK5QGuHzZ+4KHgH8p
l6zZ5ZLz+5Lw6dqJeqeA9GtmwPQ6w7F2I8fRSwdZSBBpEBjdC4m+4K5OEgSEBfdwKXt0bn402KoH
nPLSgQGWD3Yd+7CVvvUGStG4qUdZnnAxkfaGAuFNZNNhGxcJw7hrO8UcL8LU7NIkVORpmRXm/QFK
0OHBmHGSAa2RjRfDnkLdT/PVdfcBcZRDrMmATnZhAaKeZhPHbskagYVOwe5jkLDvgc7SPaWB2AdQ
0vl2AMRvI4asedyE7DaUgGzEasPEx3zZsJ2AFM1d4jRGHI5JhSmvVVTBNdhdOXEyWxlcG4IQJzOA
qwppZ7nBqa6/NrQIrUOK6glTmi7X4YWb5tktkxf5PWxKv41SMAHUb8WwE06d3g62OxwGpNhoZ7rX
2TTXL5Cw80tbkYaxWYp/W7Acjb0cWxmyv5ODjavp15o8gy+kiHkAZV32zkLRP9IpKfCmge+yMyce
D6HSsjliX+TtaitQMQurNrGwSBoNS28xjCXCbP7d7U0/1l6eds+GF+bllcIqtnQvCWEV9XOAoNsU
LIBqaYNdHWx+WIDWbgDhjYGHSGz+1wJ8IiCodHO41fg6GdgVku5qie6LAf/H4euWRbOBXUsdHhix
UvysNK1tWXKnG0O1VzhlUAyxg7tvfTgHzh7lbrdEdZpUn4CweWJLIjkUloXmTwUbAiha9op8YVUi
jCJGC3Pint+B1Ur3KnBhZlBlbckFOcOZ2DSHEFNJHICiJh159KViy87d9GEKwlXG68LUJfHmOUpz
k3qVsQS7Uc3E6DzznW0cf0YQYygdoE0G4b7XgVszMB2A7SPs2ccwRjPNr196jy9Hx8GQLkDCPG0w
QLnU7VXZYIyKwHb7obYS11Iq9me2sySBdykIk7GszVYyxU1pxLWZwsc2ERtFqCDwgA7xbXsbbE5q
hibEV0JLtIpbkpfZYs6o5s9RERZ1j8RGcajnBjvqeY+khoMU5nGIBkU/nJI2HN97sd1KsU3BxnHi
b8/ftoa+W8Ahc/V9S9mJ94eXL/f9uRYpKxy/75q6HE4pXPnbaeWJKPwFrxZ7tp6VBRXAtovlccpp
N5zNnxYPVo5nqcE7z3MCJFnem1UvXBSvJJ9UZlhk5rDlHovt79SwdGOUFlSfZqmYB1YAnGIrj7oN
+exF2r8W2LiRgZuPy+O5UFjLHvzzjBjYmvq+GCse7cZL0HiQ4QKNJ0R8nhO0jPdv8bk0Yr9NzFto
T2V7zTLi2Z3ddJuWkWU+Mgw7DxNNJBN93LbY33tW2b2SssxpvpQ2Q9iE/Iw3f1w3T6jWX9oL4BG+
ueLPYPfYzou+7o0BtPVc4GAZLnCvLrAeOzc/Z/xgKcSGVnrkXsWugedqFHT+5MJHXcLrrPbctyzA
7+XIscMX7GxNoHtoNHOx72or+VYZGR/enF8hK/EKfVB62MogTh7JHOQhdGcmk2LkGXXYg9qSfxSp
xQHcuNACd+3WqpQwo47WYlEYEBhx4fOkb5vRCS64nPbKQRfxmCOoWSJ0vHxbNaFUmGdOXLktT6+p
rFszLTiZoGrymwtFueqGxTLddHNqZKc6S+gBLb9h1eLOGsKU5T/XduKxgJlzcc+kFYoXrcjTKcqQ
JAjZm8Du5ylAlVXeG1pg7qnuaq7/vAmUlaMfUR1yV2DcAvdv06Be8IZ1/vbx9czQttje+koyUCqs
tr3Cdg3gnFPqhM0mTzW3R1zuOMi5DzPz9POcGLxR3+sl9d+GUPK+mlVd7+18ZaScMlW5HoaRb3Je
iRBFrfFqztkCPDyMUBAMFZuPm5K/di90Ys8XIRpviCs9qdIHG/XzqR4s8YI5tRbEwa6wJVco4QwG
wokayJ7T+onJqof3a2E920ZIDwAPmaPpTHVxNvTNsQmgx7+FCDjsrgUc87TjRe/R+tyfr5CTiBp5
9NmBBgjSx3PDuzK9el0th1c0pUXN2bqRPdDS4kXJ/9luClv41lRpazjznM4V4/nYhMbMiuoqVFWY
wHPtq9eJ68YO8W2e7Ho3bGOc810bOnjLu2K2qnU3bF8n87mKMsfNspsk72uzQaVViXunuS447QfO
CttzrLBd9saU7SgHUY1/YmrZOHgO1kzMwFjgjN2zfOP8zCroT0uO5nPvianyHvUwb57F8zYjMAbT
e3P1trPw0+KlIej7uaoml8l7a7R7Ihjn6rJWPn+6mjK7f7JMe2aJJCU3et0Ol7w4733aLgwSiBkd
ZpQi6daSQ4pfEdyyJs434OdetDXuauM3nDfWIQ04cc5rl6B1jjUtiVjXQb58GziGHs7r07Wn5FgA
BBxV07vlTTCFLJHQnAhj90p1maXLEP61IGp8rz66AGuOuN6GWPDjBW4uG5/EB0s5rwpfl7wUpZ0w
t4IYcLT6BnKWt6EN5YgxP1KUxoKH7DXsRBjaGDH2OIAQg7cNz/LtgowZNQ/ifei4gzvz7xYKIXxe
0cTfWi6XwJKznr3MJ+rQqvBSjvHa4YQJGMUd2o5FA1LMbu/k1h1CyJXg9pVFbRoW8xw5s2mfd0C3
lPhvtCTT1+QCElIVCUkITeQEzPSIEkAVQgwCaqC4U5JNoU0HlRwwmmXG2JxHfcUkec2cfuFzU3T7
jz/pEh2t2ovY5o2pl3LdRBaQZDjbrjRQKgx6s5kyuvVJWWGuT3JSTXZHeJvZXjRso7c/Z9geFqH4
nyIBmXcmWsHhWXoTRQj6PPGCY8U2PEdaduBVme/dyQ6eplDXdwhPv0OgYiDKzPfkVb0Znad0c5kW
H7B+WgZAPZ4gPi11rFqcsxzN8Qj7ghNps6uPJZCnoEJZ/Beov9znvOOBtt686qMxFRjINwRrRWnf
4vij0JEhiS1uHHe0LKysPJKuHVufGqtrlrjqugZ1mNN+CF1RL/i2ZjOkyMSqdLRluMfhXZqX/bb5
X+IcBRApsoyaCs0YHUzVVBdGiyyoAWUDYK+S2XhKC5vHM5AlAVIlLG6S42E/DQI4w7Weh5MzbJt/
r6hx6q2k67MQf14cX4nZ7Y146mfema1RLpmVXc2O4FUVMF2TyGQ4dZ+Qkv5S2ugCdm4y8031+TBJ
MvZtVApt+aM9TzpK0cEQ2mb9loFDcRImrKBzY5iaadNd4pyI980g2dNaHybzFXjacAqylvGMSN2L
uRPWbao9wfwPT3KSy+GoOCUKPZYTPHHf5vwccL84TXXKbrVuzELFjCU+75vo69gc4So6+6XHW9Gu
tnqzS/BlxsGJSREmc0zEtdu9nm2UW8m+N/S8QpJR9DFPjPKS6ekBl3K+97qSPY7rT5adbC/Lf7jK
N8crr5t446TBRMcre3FNmMZWYfRgJJvRaV02Idw4DPyDCxo2LU8IQKconKbh2MpxQnpm2yG9ivTe
zHK1npnwtFdcMbsSOA+3JChgp0VJYtNJ1D4Hi68WnywB09+tfYAt/UYxG9Z02w7OJbNn1h8MkjXM
iqY2D4gZyYLwF2kf+OTsORsm/UnjM3edoXr71E1kuY68IezOdDuoesk4wDHZr00bynNn3DOgazXa
DdGEe2dw9AkLF+P71DneeyGm9QeeJeqjrfT4MtsztDrqKvsKYoZ5bVGUHSvAlS8uXxcqV5JUWHv1
TdHviTnoLz20h7d5AI0xLfz8c93J9AkPUqXjqa4QDo3eZkTgIYBwuuRTZgTldzIE+E1eY+YjlTI5
IPfYFdOxVphQW3EgTbTAWJj8xYT8/wnPf5rw0J6DG/3Pmv7nH/rtF7NM5+ef+Gu4IxxsL1GAMNnw
STgA4PrncMf0t8h2CMNMdyDuboHl/xD1+1hsEmEe2Mx3TOjEwN5/EbJt77/CbUgETnamNpv+/2bC
Y7lnoP+f8OBGF/UwIt5GEKxBLLg2rPtfEHRUi4bq2xaGGmfsZ2W4uAJXy/dQ29Xtahn9PjMsxJp1
i7v+HN6McM++YFrfP3Wt8dSbw3g5LXjk9yEqIredSDpOHD85qrbI7unyjDfGsC2ASmv2cMGSIIs8
D/3PfRN4i/Pgunlp15FBRR7giDmE9q1wV7P9NFa9DeHKKNfWOSI56rqbsBvA3WOTmBBkraVQklgq
4sgLl/wYZkPUuBzc/acqbKSnMeutK+syE9oHsrHxn9oH+AiPh4wtp7uUABxYF5LUS1RjpO0FuCWn
Vrcug3axX9wlHSH8rq3VerF0Ex0eQztYvAsk5J6ZROWSB8VzAhwBp9cKStXvIO+1b0WThO/bdhns
VnvUuLsPGXJ2nx0uyM0ntItFt5N8hfFY6ta+AnTHmmjyCeJICqRJ8SwDsqNoyAq1X9FyhkBiBdI/
UBaNIgO2S+PIE6adIcE1ofdK6IrLmZZm5MrkTykBGzysqbjp7aY9Ffb8UrS5cyzkjPa1FumpnFNm
En2dZp9znYMuLUhQoRHdkD91lcEE+jym+FtO1Qg7AS/oqFECS9PU/45dyJaTM7+uKOBjm7CRUjsX
FI10QZIySFjFJQFj36hHhr2DLulpRTUdNauBDzy31HCInPWCbj5CJgzwyWuOjJoe1Zq/+JXNDprL
q3Vs50iUeBRkfYCDsHxt65Hyt21OJa3bLsidnV5rpnFLh59rZ1poptf7LK1b6snypQN32E0DhXNZ
qx8UMP4NQ63kfhYtJGZTGyg6pwStZwK2MZVHV7lWpFd1ZxeOv8O0Tse0mjS22DRd0zgPN6Gc7X1A
RNtF0Ob5odGEMcDByOJ17MNv+WTj6qy8/Bu2a/pSD8uy73rPeKTU27xd0x+Jk7R3niGfPJljTYgD
NB40NSkdeZefQNZ8TNaxVCDf1DOQak8HGXqgw3AVDsNgi0NKR02UoiGOyp8pK0qE4Jlsdwl7R1Sm
0+YKr/NvreO2UMUaNHkpJFRh1uOubZHhjw3mlh69YESYbrW3DPwkQ1s/WxwhEUjCi1ElF+sKh7Qe
uz7ypPEZUTDJq6h9L7PeEzEiz/zDmbzh67QGcWHJqCjpXUCAerKrpsUsrzG3xs0Tshtk3iHsd467
Gh+t9BuiBTjQPbRtIRr3oVBEHME+NE52aU6PdIUwCyva6XtoIzUmB8mQ33ah7R+cNg+xxk+CMbag
aj2Pfi1jaVpreuSUty8bgtbpDRxCUnYsrHLFU0N+n2iNKRuUui+Ix4DWyrIgOrqyolDr5Z18HtPc
p4G7XE4yb05gC+hPj5KlpfGF8DGtRjHilch6Z/lh9ehEI7J1OiKTpyn7WAqQV3j/sL8j18RV49Ym
5+0Vjd+sbHwcMX+0VG1eZY2oj3MO0Jr1hn2E+cqVlTMKgcI/UtyxS2j8/VpSTfaeozAl79aNodE7
+0Ss0OfIdqGbWr9oyxUvQd5hg1AYb7xSn8nqIe8c/Ae2kryURu/eYp9d7ihaiqvGyN/xahh2ud3l
L0ynQNr9zstv7GEhy6yeVpSCVm3dwzH71Fd2SXSQcMR151btpSXkgYGbugYr6R5dRxhPkJmCNxvC
3y4tBVShWlBbTERcQDrStr1P2kYfFjyXbvwEfw+ZyHGXkj1/W41Zu+f3NAdIdMtx2N7a0k3gEazK
OSTMwvZGX2VQDtU9ivB8ny/jabbMzEZajoFFH64gvYnfPMzO8tpMrXdyVS2+DzbqZO1mczSWjjo5
ofziL0Ud5cCNe9tRFy59+a6cyBsGnunkR9LC8iwMaVwRo5nBFJssKGhAbPDOMWmCe3Zg4sR+EC63
+RyWd6thqhsgCuLUlgm6a6PtSI9QtxTNxcZ/T4+ZcHVkElgFzLEZf1pkY265YaEjb+CX4dPkgDsJ
JEKxCUf5QuL4Evnz4EVILx6nEL+ZMmzLPXJN3NGnVpx6Tde09Ph64ugSt5amHyPk5fvStQxgNn7Z
ZBnGDsVxvyvqFr4Wzlbjs8gLsXPCctn1WPLsRtlfYFRCO2F0H7oPPsGubvermKeDOXZ5zNwKuMF1
233W6OxAKLy+BL57V+V6U8lkurI0IbnrjJEi5orNHQQU89rWPNjGXBA459K8WJnDnwzG2lHfYfeq
mga6Qgr30gi55onZTmQTAnAHV+3rusKAb6BSwsmXX21Ac3oFIGNrweU3ceYl6piSXrMG0B3kxJHM
Zfkx+ZU46G79CmkJcG4V7GUFUSw0iFZiR4p0SA5+XGU6a45NuMz3CTBCnClrxLk2VBzudhf5ZvpK
dsNHJ/ofrsyrQ+VRMCjtfq4HbAvrcoQHHfKr1sEdog4bmo9hcu0YK/xyhz8P+TbjnN3jpV88CLq8
CzO012uUINyGoPw61YmJ3TJvF7uU+hyCiseudDYDkCZWKehPoUP2dT+vvtkN4SC1DdI6ubV/AGhE
4C6M5gBrq762GUHs5YKyWjnLtzFLcFexfZKk6VywmCnLvSn68AXe/Ups34hbbLOCmUckk5OMM5cd
X1/h5PXKa1/Km43S+9wHWy6rYy5PZNpd+MTjxEYlGBgwmrjHd7B4DQr/CTbSjAtaeutClzwhnUjB
prOi23sjrRZYVOZ+El6JfbHnkyVAG+6uiU++OW4/PGk1L3Rf9YJdmRIWWg373cPeyNstPOfI7qz2
DlxdnkzSM0+B9sKvczniTWnq70WXyDtMzI1irxhFnopOOtAxfQUjuEB97pqdVCQMMLq0lUC44Hms
CLN+7EPhPc6LOZoxu6ZBiWF3duy5Y/UxDk7IqGssUp4pDKOWOdjgH7vO8nhlGl/iRDOKdYonm2Me
wOaJLHdGdNK8xtC2+DIiN/vWpERZzRlzzaLN0rhPnXdI4N5TQ1P93aLBB29Dl1aSbjzpi25G6x7l
ZVZM2J0v+ruJVQ0erdP4tM5Df5GweZJ6a2A00vj3WFtf4YAjAzindqtPlrEWLGdfBe9JGqA+sccA
YqqXf/a6wb2xsJ3Y4WBU7Ym46+KuxQ5hN/RBTSKd0z4OjjuA6HMrbnVphzBqEyzuA0kvu1vBgAG8
9bjcNWFeHVNMRTDJniWacQLaOr7XEUKVcSy8IqmhrVT5Z3az8jNH3PSlmrX5hDNccjKLIL8wvZmK
N+n9y75RRhHlhHSW0eLP1UtqA/9cKQNjbrFmw6UwbF6IjFiqPZJogTHKoMAeNe4v2m062K6pucde
YngASZafzXCd3uGTqxMuHeKqLQp5h7fq8Kl1vAFDprFlPE0gx44IKgZPVFfrixgk3Hzah3F+Ti12
2Jg+aRK7VXQOvqJVt6h9XvA+XOG7CAQe4sb/aU7C1f+Slka+7phNcrKGkyt4EQctIYT70DLc0vVv
gVUyDLln36BYmZ6qtYG9NDJ0uakanb8mtdcciCurXQAjXV3gVovggKyYMHLd0sA+BOAT62KNtxQ/
etI12yu2oE9zTW08Nv30rakbrNqzoDj4ck2vhoaStGoUnjKyVvUzRkpZhMbIPs7oia4LwJbDghX4
rk0JJe2MtRojb+i8w4xE5gEhBbFWHhHEcKLzcq8Ka7qum3WKXLvAdyTQ6b2N+gfT2KAY2judZtrb
Yetr9j5GAuR3USzUXSaWMYwmrI678Z1yMw/JuiqDfnafUPf7JZDotGCOOIynQmS1IBBkUetVpV2G
UWNh7au1Y0LqjBn7qA4rvLtG3znJzPc+2yBM024lDTY44R3WWd+gGyY7EyQsvc6Vwk6bJTwUeztM
SUSE/sEs1gBYjTI5tNdKGt1pGoX1qHtJL2D1BhY/PlncEi/jfh66i4E1uQOmz6+7wsvjBODmox5a
97uJ4fQaDfkgC2YJ3fNYiiR/tSyXsCFibm4k7yMGQ+vq7fwxDH+0YZee/KmmBLckpKU+H4KXtSB4
FTvG1d0LkuwPoz2ub3CcmJ8AZ0cV/TEmNuYR4uB0udq9xKIq775k2q0f59nyLjEKmGObVK2dh34N
QUVWg82WJLG0eFzHZk+qN15GVjwQF8Qov693Dt/xE2499V5qLRjUW8U+5ayjOO8XBoME3U5VcGF0
DV68NO6PpM+LwwCx6M1zNRYx5dBFScnOVLVdGAV5mx3z1FG7od1UMDn+v0Ds2fytEoY6VrZ750CS
eDeb4Q7EHtBZgnp1tr2ceotAsZKx6jVRvyHSB4QBe9ZNf+jgyOzPfnsQ3yoTllOekYNeZ3tRcYwn
2ii/jtT0USuC+mTkRNMbMydJM/tNiGKC4ArDNJbYLTZoOnHrCOjWuJPOuuBYnJ2IjKxuCD0g+i1t
HAJZZ+PsB5/96DrfvUmSPGej7fEvbw3e3XELHu7I3mDqFq8Dc5KhlIpDZ14eMmmKW6XTcl80uX8q
8SLe2xWiK3Ns28vctO5DgkmjcUQ9jTgjfRuDptg1uGnAgrD68LYk9C/WtVnuLYzRoqLC/y1lVB85
8yYarPOsfjW68bV3AtzvVXh0QSPNCFeWdwITRgyATXK5aowqLBpPjOvRg0a6weV+KUkDKIIUU+u1
QhzqZHvF04qQF3xBRn6VpWib1/69KaovY6G29TaZ7X6SDUo/QP29HwK5VqhoL4uc6XQ56gTeAaQI
ambLjDcPu2q/qVMwttL/zd6ZrLeNZG36VvoGkA8QmHvXBCdRlKjJkqUNHkmWME+BIQBcfb9QZtVv
2dl2Z62rNpWZHkiRQOCcb2yOFZk/XC2tuzP0zA2EtJIjyGV2Bf6g6+veGntvM9T6QP4y8zZ8sCD2
H/hn9Nr6zKcoZTNjwdlHqae/qZIVjQCdYV9YdPYqrRHXaeeCCNRUtMZjd6BSL13pyE4IvuupyJ1q
7G4ODhgBpizcYrieszjaRknzwr7GKDaVybS25rQ4K/t6yIKIIJuHoQspVBzUhQkdcM8odUd0UBO4
snPPYwf/GyVWDI5VfBaqGUFD3GtyXQ79k280F8pAqBSn4r7UOPKon8bx6CDlwSHrPcQjPhOzkXgI
dW8IILjsu7mijsqeM3GO0u8IuPrYkV+yn9r4VjrGO+pI5r+J6aiM6vI2rgQ+X4OC16G0vpHhJcnE
lOYaJdT9SF/ie10X2ryNSs/poMhhTTCvk8E4O8WNN3VEw1dRioe29uiw0qHasSIPpGb7k7ppDApX
VrkXhsBOnVJbuwWrZvgvDHac0d5lvenflBxY3QocuiIybQhdYHUZdxp3QrFx9EweRMkoOSfRyKoT
rvmqavciS+36NKCIwCedaYtzOkuInRS4sTaDR23Optfj+hIjh3fGP/BLIPjvIhI3VlpxeHgJ1mAq
rQ6TzcPVMNUrYUt9syNzKNrgnrFWrgvjbufjgY6ujFvduJc8koJ86dKAgwILrEsUkv6CshvOYr+k
7yJMDHtHq6wVkNnJkeCMEk8qlfR7d2ieIm8+jFzwAe4VnaBE7SL0W2adHNtO2riH2hi6rTIzd+Nm
Tn6obeC/xtfbgBq1hkrgUQSh1RxlNFxDeX3TqYoAjJ/sjT+W141V03leTO5ZSRwShp4u3rG7ACAS
5H2CkntIDKslqF2j31WSBRflZrmL9TraJFVhYPpgOZN235LxEOkgF1210jP7W61C/7rXdGC4UCUY
jKenLDJAzrrJ3LoZRqa0M18QSxu3yiP4yBknJYO0r9Sb3brDLWcffSGOLQNXb/qDbACjdCMNjFCz
LtCkaeAsSSI2Us+yve+U1LrnLTyFafVrkSi/37iRUbirVI+zQ8Pz0cAkRdvJVD+3aAse8TaYxTrT
5vk1E3E4BsaUac+VU8gTAZTaPuWBR1OAS72fl6Xy6GasSJDuKUruJDpIPKobE2XTC3MWt1ZUF89J
aninSpnhxdzF/auWOO+RNCayxmKNsDJg6Ot5tEh8S1yaV+tEV1+80e6vhIit+VKOXoXB2y2qHSho
gTW2M+v1PPvO1qiIyVo7WTKua0EKD+UIdI4ktaCMkXbKS1oc7CGweRjsk3C4myL7CxOCfduEUbWN
GmSP3AfTxpGtwXLl3atFB4aUWdxGek7uWGyePKMNn4sRlU1ahESZkrCUrPPF43WuBEPNMS+BVhsi
cc+ZIbpxGzmUvUC+Of3BKjl/Vk6n1+kuCkkwBSSC6VFgYcw0BT64kuWG8Y68LjtwnUrey9pq0A17
3oDr2/V19KZgfNMS9TVxLpARMPrmpUps/W7gL3DWXtPPD/2SyMdtTB6iCUBN7x098RdmX/dHl6sH
20Ctup1qyuQ413Ut1zywkG3gU2ViokcBzRv1Mjzml0mIU+axIJXwCacfdd9Zn3Z7SuOw2mljw9Dq
WRhEIy0fAsszx1u7rzvAJz0j6441zOObQHJPjU70zUYTFa0pkohGzITTdDPBYWWByY22mZtxoiGk
ZfGmuSDHFakX9Xow63fFeL2BIrheQgtX0O8YLsnvX0Mpql2U0Fg7RoN4SFMm8LVtcWDP0jau4Bap
HMmbwbtp6Zxj4pVRdZXP2vCgWUl/MOMGXKaYfe9CUin/QOYA8qlCTTtRY3dheW3N65bMpRufzCvc
hkbon2tajGQxT7IDDePDLfQxYCiSZO7SquRYRRfqlYKZMaa/3m4paMKZxxOrV6CCK1P6UXoJwo8F
HXuxmZ+ndIzY285RNt90kW5ooY3S9Zi1V3PUWjRATUvMMDDUnT670SG1OCrpYprec+j9R0J1GdTQ
2UBPAzBdxr5PrkWUJs1D79jVVmk8daPK4mHGJbVm2Uk2etSSvqkpZARAo+cyHN2zQendpm6d7Fgb
JTZbMtH0YzVX6kuXlsTbEpdRrGONqC9HWiHHSUdhS9bUl/akPERQRrRph7neqVa3ArMmAo9wD9Vd
eHlhfgW91XiIqfpOZ747SlQI275j+gfOdEFptPhmitMh8PyIBie4jCCq2+Ki7/xXbTAMAtyKcO/E
tDto02zQisitYaYi3iQNLZgIVa/K0SGqYLKHg6O5s1o5Yb62SLflovHdALxZHqgv7i8IGMmOtMu9
lDh1NkNILVTqTc/RVMQBGbdsBnTpxCsjLMDK5HSvJWa4RX8db2pkqRuNC30Xk38RoOMTZ1lLPEdQ
ZeUkANromjFHY+0YlKoR5Mosq8/yMSExNWBVmPeTJISdB1nbX3luBQ5s+Hm+Lm0x5DcjNPl6innY
pDZSSPCsITtqqJyVDX0DxmowaVTx1sg8JMdkI9jZzH/Xw+vWHKeT6kpw4CG791vx1Yw4rG2t3CSW
Oa9BSp59wsjo5YTwUFiACUfI9TWu+morjMzaKwuDapTezB79WZVl24Hf64hFovlkxom5ytPmoW6b
9MqJ+n2oCdqfmm43zNbwpI3QIMLUviKc17f6zISMKAK7z8CDevT65wKB17Xqm+u+Ejl9x5W3RCsu
i2CcayfP9Amj1UV81pS6QAyvfSOHvr8gnFvS+kzeawINBtDjW187ZROLV4zHoa7HM5k3Dx9c7H9p
69/Q1oJQC/NXtPXFc9s+v8Z9+9Z1n+jrv/7kX/S14/9B6pFDfwWWYg4H/3/oa3dhtjHL2ZAczkcq
/b/pa0v8gSEWpwN/TMdhsTDb/8oTM/6g38LHT0R0n79YC/8Jff3ZwQEJzivQyLDE5PNi8OyfuWvf
nByN471mz8rf4yrydxrpCCtqG9RvPHp/90qoli0AGDh740e7HAFPpTWPBq8kOIgKvX6qy2pcqZAy
r+++h7/xQf7dK/EauFIsOHn8V59/pogU4VnWWb3vFMV/Ya+fWszjKwcA7B+/EBYyYemENCy40g8+
kcHNDb+Sc82Ck71nefYeasl7yv//Jy+zGGVxsvo/fUedg7AutjFH0ymGKNprSFYlVAryOPkPPjqu
Vd/yXMoLcIIvFqPvpAwRKLFVxfxEQ1jI48hSRRoPlitZpr/5oZa/6TvRxHLheegzFmEH4RaIMT6/
kjtgKOh8soJipbIVmQE3UzQuIQ339aIp+/Un+NnQ83GVEwSJudyF+fTB9z+/mGbw2HGNqt77Depf
t8VennoI9Ahveta9qCDsQJrwKmH3zy9FqmioofBd0m/JGvr8wsy3vchj6ghqIo9vqQg2V7avQRmn
/NOvf8blA/vpA0VoyakAPs9d/fml5j7tJ7apek/oNe75vp42qdDD21+/yt/cW57z3assXsfvLhC8
YDyN+pxXAcM6F3K8HwpVHkr5n310373SDx+dorq7olyTCyTviTYb0+cZI2zw+9vLWD6ZT5+cj31N
MH/o7IK+/WPOYdSrMLW0Ntt3i0jPXnKTujGNmAytrw2BtnvNrEmrI0Z5a0vfpuS0+01bB+GNP74H
7JHcE1ycro9ez/3hCq1Ax72iqot9PdDPAIiE22aqO8SHVjFt/FAngN6Xxrah9mOPgrJaf3ia8GuU
h6GBiwLDQSVL/WwfUAmvXt04oVo1DamydNF49G72TsIuapPZGC4AZdCG1oteVxDNDdrGb5lIhN/o
Gbx6z0ML+K+hE1764iFzRXVGXjUoS0EYtypGex+6MyT/VPo7UrVgjN3RifA7Lr3hSL299dAgvuy6
ZT3JwEU6+NDbTkstLGazemWp9Hc4OHnvjsGrpBYSUa8d0iB2WZ82OCP0lw/za0L0T/ChiCxCfugM
jfC28qP6FIm5WndY+R2YP3yZK6PPfTALs/N3TijrLSbXEWiD8DhNkplW6Px0c8HZSWpyB3FFVD6A
D5hjlJQbsiX6oHSXOvKYVN4ASs48WDQF7cidqs4NHb2IV1Bb7/mYPd1cFw9RPNjnY2SkYCtVfu+o
DAtza9aPjVOIh5CfvV7hnqkf68LqZ94TOSHQjrXfBaY5cdxQR45sWbNkft8CX5x7Wltc49rpnkI+
mvM4beqT06fvusF32qeOeCi85H1sVXjbOXN1ppbTOSZNb2mQRfYrcx1dNTmMRBOxU2OsGXFJ8lDp
AvBBJOugLismEWrvQULLA6i2Z64sAsEuI7Mm992JyndHQy9rVCkfIkL7ck2siuch4uLOy9vIOsw6
jpIYWdAmS/gQKFJI4fSgGsmQj+6g5vmRIjfJnnx6GVYFKuB1aMeL3aWjijSoZunku6QkiwCKbqj9
tROHw9c4rDGLCGPA2VFWGWpjB0D9qJH784Dzxb4by4xaepQfB37GaVN2HN6o+9DDpVgrKm7uO7RR
XD82bgC6BgjJyoBMYnrd+5EcPTnWJlINsVioQuzsLKY1oYckweAQSx3/npxxbjtLn7VgsHjKzhOZ
z4AnaEvsXNXxfVdq0bDrvTJ99hWt0H7JfUQTNZnfCfqY3UdKoEI3+nWWc7ZjA+9ytkwpkm0KwDhv
5pRgRgTZkerZGjPjBdJtESRzb1ls0dgzld1+GeAgH+nTszExkkRVjAuiKmm3OTj6si1bSwwX6ajW
AcQge2oiUR7GkMYMObYioIvxHTbTP4aGYx54I8bWiFjZNNoT1DounPgSIcq46aPc36GAU6ve5Onb
m3y9sYdRDrNLeAuzR7Z6XI/xW1n71CBkYIwoFBH8Wkb/tW6nYWcWFSWYhPuXgNpeeWCVf29DCKlG
6/SAPrEdwoO3rpfuOm5RbTVi31XDSx9PyaFAdb3pQ+RnPI3d63gpGjJK3pZu5MPF0Ekfjof73PI6
Wk5qN3vwDEq4dH/cFrML/jGPdRcU8OEshAldYWaXc1FzKuI+gcOkDSj1TyZzLT4C7noyDSaUaTWC
/DadNrPkdMMqRDH38uhHAeCtRZE+J63mnTyFEQclsndtDjhDKiTBd3R0mgeKmng1DtSnflGH69gi
10PJj2+3mJsodG38U1f26pUwhxzKheSpILYy79pw4JIsHYbC5qCUi1ncQYdMEc8Izy/lhBBtkcXb
SAiuwyqTR0PRlbz6GPZ6nyaTXIcFTKeUQ0z01dpRvDRlvhK9okdDmmGo19guz2oqNdBqQe4Plg6o
meQns+6qbaxMjy+hqE/gPoz2FGOe5zSjcZI3MYxKYRAORxPrCvcM6WROb2w+Tl1qCB67zDPedMVp
NSzXiK3jmM3CLsFrMkZbIhTxrimGGYpgOvsyjewt0MyM5UGiKzCxaTYdyu9hdqovycgnNLtE9Y26
KwMeuCqgaYGTO9exCdA5U94NdURrPN6VA7VNxXXbc/ZoxLFi4OSmzxCjrQe/6rdmatNPXA7JJRIG
/cU3+g4iHSdLVvVEibf5Hihs2KXYAHZINrWLTiYnMzGHr1qatqdpjKm0SOeHRDfVA/ofJKIkfu6s
2bD3s5/MmzJuilOtyfAqzx7dRhbrxIzfK+A5dCrJF+7nezno0V54MGhoJxuUdWZ9IpOLQo1qIirM
sV40u+pXwuWhh+DGOtOSOL9vSk5eWXLi6DR73EGg1RWmA/jQPw9Zx2rr7cx3sGX9U4TmjS4l9Raq
mIke5D1ptJbclbFPa1dcq1XX0kNMN33OYUagnUcdBklRRWBEenZGcxJVw17topXMZIENd2hmucpr
WEzAzwYs0g5VU6zqQnxpC1EcVGMWB0QWxHZSTtIczLzt1z22TZGvMf9UrnM+KTFSt0sAnuT8K1xF
nKxQdAfoWRprOwsrPKUQqW8S1SmKcPAO1tAj3wudHnEcoIgve5o+fOm+txOtwXQdZMVbbYPW0Y/s
no2eWxuL1Eq2eH5sfdO0I+f65LkIhoOOcOYruu3RaKUIF/qg9aJ009WxpHqGLDoKb1ujffIyPeuC
asxvVWoSKlmTi8eEMIVWsqrdaTjgX8/WMCEvltfv6zRFJj0h9bRsLd4KXJ1rDo7h2rZT7cLACZ6u
QdOpk7HEtOM+FeaqSltEPLnX7UXTd5uxCZ+z2M42kO/ZRoDnrCu3Mb4WHV3zPc9oNLIRgXSlJXot
8HNzvuR2jV6j3DX6VWa0tLK40NVprmlnyUjYwhZ/O+eb5XB8I+vAsEsUg8K95+f2mghkjDW9wlPl
Ae7tfj3jmz8No8tAbAhifFyX5KIft8B6TCoQvT7bx0VhHUB7i/fKbPgEFVZSnaoK1NybHOtNCjto
dJd469ieSDw8AZJSuywLaICqPHiCRNhJsOrQ6AfZm6MhPLcEzs1SQodkDnm73bCE/nWwh3vqrvB/
jmxKG4uIyluyaqxn07HwgKNoH3aeZrjXU2hw3IbTmN/rpBQ/fZyBZan7ILkQj/Fvtqqfwv09nzli
ySbzbZOkeOKgPi08KBwi6mT0fN8wTKCxUMNFF2H+hylkZuoYsy8nU4uhnWdmrMyX1TmHn33e4fEn
aM//3d78Oa6HVXZ5PwA2BFTDsgJvfH4/S3sA5wHvRxbGfU+Fpsx4vig3eS7z/iYEB97++mr4aVHn
YtDZ1AlCYDeBy/38gq012EWk6nw/kCl6IvMIAWLJaFKWMSZCTOBnv3494++uPso18XPQ32r+FANf
LvmPlpNRB+c1SqMCj2de0pZDvU65sDryazYIMJiNbU9dfTyCVTWTnxnjRd9CJ2tBmOEeJnpr2I0t
M86v399PezZ8D+kLNh8LUjesVZ8/jw7tFpXmRkJ70pTsbLKzz2vky7+5B39CLHgVgApBMpMlSNn7
YR/saX9BvVsle8dicgVh1oKSsM6gEWj7YZQpJ5rI9qVojInz1z+g+HkfZj4wF/zHJwuQAJTPP+EE
+D1IdHx7q1VRuM8tzHRaGPpPGAbtc/wFNomQGpY6injuM2q+37XaXlSYBK0GBLlRxM1hJ7tVk/cY
5yKcJ1skXhIFIVbgtCox/YZG2J1pISTNn4jLf/Hq3+DVoBfmd9/zTzl6/yd/fnkunr8P0fvzj/yF
U3vWHwsEYVic95SYLLDyvzL0PO8PC2UjCBnoGRrHBSD5l82KvmXuVThrksOA176zWZn6HxwaXMWA
D1QrQMX8E5z6x7uOv4WWBN4FV6bQzR8xmpQOF6s1LW3vaxrkH8rJed/7Vnv33Wfy/wEdLy/j0tHB
HU5bx08392y0CP3nQdvT1YSLveLha/a6dyrUALLx69f68WDltZb7C8MY6KDDaf75NuO7wA0BdrGf
jMo/4W5kniKY8IB5i0hior1/9ywjCI+/8nukixmBw4usJiK5DBPc5/NLQp7ajeHKcJ9MMiQQBnfx
kZZChsdKIxgHopEcHR0olZKyPhpMRCh5Ou2wgGM1amxwCIK7mULQTkNmLa5Zv1qKWZnWUP+OiTw2
fuvvPuCdj/TvAicndWRjeZgkQE+esXfmmuy+fIA//gBOw4aWXIYTOwVkG4iDSSD0bmp0LM8RTVxN
ByoiNGt+87Gu38eE6t67dXShc/puFLWjqM5yfT8LM6PpioztIE7N/lq0ffE+m3N1mk2VfhHk7kC8
h/nWbuIyMJJiCJhK1V6vQoa9uRE7b0D0LJtJbYx4pOerM9tz1+iqS1l7DNp5Zj5T6KXtc0c1aIQ1
tW+mnEHUGv0Qc5omqtfWK4qjMxfjNVRk3K/0RsH3Ss/CPyCgPDPNV9RzxdJtmxVqg0i1jzwD7Kk9
ghGnW7d0fUTpIdd5QPySXpMmU5QvLNH1IxEF3kPqZ+LGj3QfyZbe+t9SlGXMtQzTJXm3KMeJjUvw
M+OExw7jmfFLFpN+HCSllZ/0fMBQ41hRdXR7RfUgLZf33jSzNYWJXAuRc+2lkOsrK0ntU2IaN/FI
dVe4WNfjxnc2dHnIxwKOdluNerf1BoccohG9yzdZFPEuLuPXaXHnASzZ5xF9B3Casx0Xm5YPJyYJ
5KIhBfMBh6V2bZbJfNTn0KPAAYkzFXKDrq1Z53FOafgiLZSGSMB1az+oklWAKsWjnkY9betO95IZ
E9q8OUKFutG6xD/wEbTrOHRemy4PlKHkJXEosK5u/k03mQGomDsPNQh7goe++EQkcJFSf6qh1ljN
WjEGDAplUMH1BAhdHeRm3XmqSQuYroumwNG99Nn2sC3OmktPCo1hMS7lzYic8yZUuTg6cXtlj6hW
V0yT1sEfuHtGOOwLzOaCjovhbSwIcrYlbYqZKOeXbiQzm2/WfqGOMztRgivW2dx1N9St8rDvvJum
8ZNNb89ftV6alxR0iA3hXe0lTP68Ub6jbsuSFQgh94DO2bom9/+BfP5K7JPMU4NFcO0QT6+o7xFl
hUO/YAcEO2IxmbxaLHqRdFhnUZHZG7TDlE9OeQPGQ1zGNJ7lvg77H8RRo+tgEVo032etIpFr0XQw
F/BBVM2a0IU2vbNk6pEzjY519AZ1504dSlZjaTW2PxqOtXBpO7YbXHp+55XlDhmkQx8y+if2nCkT
9hmpeWSMJbk2eRg72oQy5ajoHLznVGXdDJnN7zTrZIgunQYHygr0qVRXkaNFbAPIItv43A/JkyJW
KVT2o6jjHquVXoYaylo5+uI+7ZVmb5uRM/Kb+9EHHWMD1A5UJEa9vM2KsCyaneG32aNm19mtv2Cm
UqddgRdz7f2gd/m9i19VBqEp8JkoYPKDPQ4VqRPzAKrH8ujvbDJPDkqEDRU14OSiIOmS1o4JuAVB
DfkukKwpnXjLf3ZDJ7ydJkAjRyARRuJUMillhB1ghud1e6vEwr4kctatDmA7Akx2mNCo4mhw7eIZ
ImShsSwUeu7ggvU5bbWmjh5QaoGZy1ZHdqxNcRF8jG+j5J+aTitv51YHd7FLrUdHNKjiejSt+s2C
piOcO0yibSZA5OvJLyivdKI83shJUTaq5/4ptxPnOQcLR4yVD8Y2bF1ga0U8WpB5Be+NED9+zdY6
EFsPcNvExAWMktJN7c1FdRsVMRsfO3HPUky1OOJWVCkfz9b/ToG/mQKXBZVx/v9ttr+t+i7+X8Gz
xAxcfpoG//qjf42DrkcMMoocZjewAEcwSfyVqOyZfwAMLMIFNoM/f+V/hkG0D4ZNYBtbuWCB+Ldo
wRR/IGOAJ8feBte2mPj/SQnaB2/6aZBBFoEwYolUpeCP4OHPgwzNpxkQQlLtR657tfHjDCkzXjpq
BohF29JHijyvRGl97Scm+AGKx+RSOTBIQx57wLBgRWSUJeaD08bTVcX9dzu0TvhEERrDFzNDvXfV
bO9rucSosAva56SqVWuKaQE01ZgRdNdpY4pimmnSPHqkcl1mRgVth7HEPPRzkxNRgegMF8U0ESyR
9U5MbfSQlu9tsQQ/uf5kbTOttU7EuVH+RTEjJcAjviy9Ae+X4bTY6BwbPb1mxoiBsCThIyey8YIg
srAOOgG715OJdlBA0Gc+D+tyMyLre9QL3tQak2r3xqsYVChYJSYzaoNbKCC4aIrsnRxecQnQGsPS
kQGyQSyViabsfbIAEBtzJgUk4Qvf099BlRRdyBEGsyT8Njs2iH1mqPah5nHI38s7e7Bqu30olZ7d
+BkDLJbq+KT6sLyrWwp9u1YO0/nYjJG9JkcHA0EI1deuchIGwkA3Gk7ROa69a6wLDH1OzQeZGiHm
HN1MwnFlpeMCmc/1kxF53hWhtQoRPwVTxjr0qf1c+7mqwEwLLD4zKGIN3J0ZjX9lEy8eH1NKHPeE
CdTbgVS3Y+4kzW6OY3UkM1Jsx3ipCaGnuLo1jMa71ohUuoR+JIeL7JB9AYcSFKE07oDnrTNiDs0D
/aTkJPdudQJ+GbTbD5rWcVPjwNKMqj6ncgWZo7DbPeNFx89smFtmnuZFQUI+SnRfD7U+WcQWztC3
GDWIWDa0wttInkrUYoCAXo91FOPwsfxbIZOIQ3rGa+WPhGszh5tPIhzbFjuIZgsCETT17M2ZR8+L
gSG5Nt1oi7M8OhBYVibwtU0347maQDCTsNcIYtMIMVUYCTamPnolPa2mn3ZngJg2WYiq7m9cA//i
EfGef1WDvQHxScf5UhqTdRG3mq6iwMwtTYcZT6vZJnRRzuYuGidq2ZlDU0WMIyZl9v6JQB/vkWYJ
mqPRfDRUIzlmyPejqQERm9k3izHG87ZInWeBmK5iSjp0Tt3rZ3lDSugD5iq/O9j8T+L4FfpXN4w0
YkIlYvAsvCBcajhPhq59ALe/JH02OuZ9kfivqa2lKAoFdJWlHYjBdMu1i3/li23qyRYJNLTR3M2b
kMKure7wr52p52fNHCkC25Ava35cXVD/02zaurshwQvxal4LBsRUkGCWcQ3dO04YOXtub+2ujMxw
V0kJzN7bZlEHJJfU6ySl9cnJYEy07kPsW/Ie9pNOGvxq6EW/nvAqnWv4KM+oJccC6pc31UzQcdqG
ZynO3MD3qvGgyCnbuGOSb6wOwJH8m53SLO2bPXPS5KGkonfejZ6R7qZEUBxSU4PeTuNtN6P0dyOF
ESK17w0op1WKVXG1ZOeeULvesKRipZQzX1vr08ZjUYg+5HQEYTjB311S8M1mdq4j335LJ/dSn0X4
2MhM7Umxz7F3Dt4pHaoWSw6mMStvhyujD83tUrC8Ukk87Sxnvkwab9rlFlXncdzmW2Amnv8af8rI
mD0TKat6jYzzkaww+nFz9zTXEkNuFmKniocgMyvJ0E51b0p6+IWUoTo5be6tiAh68Tltd2VieJsk
nMItBT4paychG5Uhmv1cVUmQD4NGYXBiQJeTrNW70VNFGOA6MmJ6NN0Jrpvedva+Sj6otGE1JI/3
S9rLjgtDabtIju/9wl5Dek2bTkIMDoYIn8zMBhoYwyUiNLXQmWme0M96duZsbxYAZiUA9xZNM3sy
nDN7Mx0nBy+EThs1eMAeC+EuIfkTcwr5qEgaCq4KZ3YvIW1LOpYzGq02XpN0N37bhPd+Q8mVaRfh
hgkqvkSk3bzAmbP7zWOSfa3dvNhCrUsMIcLbErrr76p5QIagQv0BUlYDcscZVqlyviw9uMAJnf++
MIuF8uzLi9YZtRO0yr0bNYUeGH7Tb6mudgisDY2R1b/LDMbeNDr6WeH50HCL371LejfIBHZugmkx
iloKa7NNuRDd9YYJTUdrzVzEo1zhvKNVpcKX40LtHoi+x5jLCA5z3Gv3NMu0D1xxZbNOelWf66a8
ccK0uiY3WL8006xcex2fNCHfqWOprT6KNhiN2NoLQfn40FoaxYZu+ma2VvHWFzB31IaQeIYRSsGk
W850KF2e2EFKXuvasRPjSxX3w03sZ943pLnRBs+7d2xC8aT5/XtCN8VXRzjLHF1CbFv2F0I0IRTn
NoPMwnM0GJxz89SEXyJp7UYzfYLqeoX6sHdzZZHLG5JJYybT12mY/HWXV2LtuvK5KXLs/yZenHjM
NtIQ9VsUEsCTpRoFPJ6Z7gdEGlUg5snazE5oXNEiKUG+VXZdGs4l+XHlsZhlv4FjIidAREPSBSqW
qmZPL+bLaOpCAkPbb30a38FoMUoxXySziX/DHPK9S7b6mmIk0azAbLpDZi/2L7Pxgs6SJODwlCPn
IEyeRZbdacKp1iZ84lMs3GRPtIj7Jg150w/Ge0jTuycTKhc195EUIn3NBksCJa3oB38K52OtL54m
s3msohly0+8PinBHzs663hCHmK09oKZ9Ok4FTrD6zJ6w5aWO8SVRU3bMueaJenHYbjCg70TaxUGt
pzs55PWh6sZba47brTETLJ5T2YceZf7WMX8GndlXt/guaV9qZz7rsDCndT6Vw4ZiOYzLZVtsx57y
K6l5r2EkvhqkhjzqjW2ewOvygOq468aA3xP2K9yocZbMPT3n7C7neEc/OoHe3EIFzAXfyA5o4nXP
WwqMslV7r2a9aq3aQokPRT54TrxjYnFv0DdGSLxVuiU1ajxhLwuvZFhhBarWVS53SaxfxlNLXo1b
c4kiUED9PgqSNVMK0ur0y4h35CYc435X42zpVy4hRTd9TN1gCofoDg4/HXCexSP9qDWts26d+b5L
k90ybDZGeYLdhcNW/rmoq3fCn/eNKNAlafopVO2J1HrKwPCXyhbbU108yZzS97kd7xTy/NroTqyP
F0xrhNs7JNEQezFio++pwRr6JbSf29z28nhY22Zik+oHi3UsU4JfnaIpg5gkBDG5dksqVTFfCVlm
f4a3/3fx+83iZ5jsYr9a/PbP6jlJPsH/f/6RvxY+9N9/eLqrQ8LbixrcQW/5rw4dByif5Z/d0rNs
fguw8V8rnxCI0TFy+bZOWY6D/ezfK5/h/YFWGUxMII2mUPuf4f/2Z0KMWmYww6Vpne4rIrB+EnUT
C5+TmhWJW+LTakJj5gICfjB4n8Gco/CqrUhex0kuX3mqiLs4zrQb4TfTrrQo98D2CAyatyOudVBg
tdYcI+h8jbSOkWcj/l3+HsAkgT0HEOkqRTAGvlKzHlWcz1uyTUh+MCgzFBrLTeyXiqkum3aVmLKb
OTXnvR+5nJ+G1r+R18X8F1vKOmnLFjTSX8ot1nbqGeXi9OyaqKCWjjFWpzhaosDhcOctqkLyDCet
fulFnD53kZqutAxhGGHW0+PETBn4dYTz2Jzm7m2QkYE4CmwoErpxHcXOtdFp9J5VeSu+9OY4Z39i
Kq/j/47eqr/hRkyugO/Yg4+vgHJ7nHRQ0ITZez+wB8VsWelC2d2ioPLPbAKtcP+MElAPEiBbmYKU
gVUiCv8KV784lsjkGHkcD2IhyZDjzMvg5Lp2debP/XAxIwy8FGSQfjNAxh/Kxm5v4kkbSexI04ve
7oiU92JAtzxnWCDZ4v+ydx7LdSPZun6VG2eODthMYHAm29AbiSLlJghSlOCBRMLj6e+XpKpb3Kwm
o+YnorvVKqkIl7lymd8oZIO95joM9R066NSlarogrXXpqbmoQtEOb0X78Mcm+ZuHNgOslw+Nl4ZZ
wEyjbTgah77gCiX+JLZhK+OTGH9zzNdPmsb56rj+/MGStj5FrVWfVvnU7/20hoddWWhgdl6+Xs7D
bD8oypxsEwXTfJ1Ajz2b0Of4FC/8vxZpw5+EYec8sdzpOsUp6QJYzvwhCOPPUM7d4yjLys9FPY1b
5uH2SVZP0GYtbR0Xo1FhIc1FEKRiTXu9PZ7bq/dYi+Fi0q6D4C2IiiXEdmUDfG2XzUuxnwOU2GwV
pUdB9q1UUX6GmNH0I0uZJjPvmH4oTUfhCXioe7oGMQDKLRDIoz6b5hs2ZXElR/wFSjT2TwrPsIBz
DadMi26HHnFwHvpUyhmH7rDLMmYcjQRICtvL3boZQFxZowI913ylDcSs/LIi3bhYwtL9svS1+hmW
LZjCmqIOqbUAxe55palZA3E9iWaVnZd9b1/GRqo7NOBLxFJ5ONcbIGu36ZpDJEtzFB98mNagaOfr
rnd4oS7tzGwN15MpMHsTOcSP1Ujrwk+79iHCzfPC93W0tZN5fsf45yBmBQA1XKZtNnqWkBzgOhxM
+EjJ4jgZpXWT9vb6sY+G+hglyPLzMk+0oOQQYfFh1o5u1h/IYa3bru8Usg7Tkj7mqpmvlHDjM3Ba
7RcJx3qHPoN93IbqK64Xxa4dRHVXtfyUYkTFGRUTSNW4aToXjcm27T5Z912QzPsFF92b2dYFWRiA
bhzXreXST2MY1eQjRyP21SagNsWZDlTv7Jk/uJhbDi0/EyLblS6a9ePTslU5moWINC2Xug2cC7Br
MaqDof01tKruS4Qy+hcULdorhBTpviOOgmeVR9fjAc7rcUtVjyz+HNG+94ZBHPsIU8t9EabALu22
WfZvb91DHAOvHw83oDuhoH8JG9Vs7T+4ClMLrCpZdXzjaiWsXc9oG72a1vqUrxFP4ECP2DI5sG7z
JRvJW2YVqctZ1+l8HCIOu2w89iAIvrKNz0JsI+6LUVA7R+2kki2k0vib9tHD3eDk7py22WAd/fMH
YDjMbQlG3tI9nBDXa9FBsUzkTSlWMGa5M1+Bsk6OWmic2ugSrkjBIbkOjIQQU6eBhaZFre6R/Q3O
nUnEv9h7HoF5ae69WToXgsblWeqqAYVttBFuMUigu5miphG+M9x+Iln90aE1L5/2rEQc1cWd5NV0
e6rQjln9KbhphiDA9Kfr4l+sZqw4NfYLn2kkrpc58JzrUo71cQ8bCKZmXQtELrLxrAHqvp0iV5+W
waRPwdJZt72oouNoAn+51e1QX69hl11Il+efqggh0r6bul8jxwSfKPMfmAMNp/a6ok1RtEhXD/5U
1MfMSfQWrZuVMRa4qR4tyy8u/dcTK7TCM+ZOiPKh0XJUdl5ypMp0/qZFvR7raYxp/KV6v9aypkRy
3fmnk0AkAuToW+O2U66zX4HRo15QPDgQjGDE1y0ikEqdlv4Yf6slW52cAGlus/XiyEoeNeOpcc9s
ktujJDpbZ+3ewAdfhl2VeyP6XW36aKtuPUKCIP7Gyht/+rRMiSDm1eQyPgOBjWosuHUMnyoin8q0
vVnQkLu1oeYynqYc/yqr/IfXVM1pi4jRKRQPEnzMehCzY3KZzlOHu085XyGfylny9iImSXxxghIF
Iw+jxcgJidkmHTxIG4jV1YAic3uTImABmtVmg22eYjNaWe3xErfpFpdPHiBdETQhFVP3wu3XjysS
HsUeGORparXgyMu8PGvxnZ42S2VnCKsz7AaMmNRHPUJAbFdIUQ8LyNQ7wn//4DKt/Dlk0rd2kQgq
iRYVdtjHiKyVlyP6tvtK2gvrwK/RZy+9EnAAvWj60NFaDSdhYs3Ixyh6yX51N0+N43GX3VLCRqGa
agUjbDYWluqDPTy28I4/sr5SgNltczI7a3fss2tPEAczKaf5rhRs/ZduLk4Cq4BGM+MvgcPJ8sVR
qGd4DXNM7idFbzRnQwAYZrHmLqWgYKD8A5gYrgvjWJw1Tg7cISoXayO8lTZ2y0jx0p1jP9rSWko/
cw5knzsrN1qECuz3pkGV9wtaBBEa10UrkhPg5wh1Vh7RACYhNkJWJJ0b+sEmwdEzJItw5qjqKrHT
EK4R60/BuPZzWtk8bkHIK5uOF9VNZhQb97RZNkvqrga73fn+Dhe3+jZJ+g6rdqTBNquTew+pF2cL
w2qhinOr7036Ey0fEYwHQb0yZX6oEFwCP9ZWYEaJ7EaAZ3UukmBCKYWFENKUxs8DxGGKKxIty68O
PkAh62lYP2KRgKCDg6fgjSa3PKFKRcexA735yxVFeBoOq4X7A1oNm5BeCuAIvU57fxwjZIVhxMDe
j1F6wR4+22SweJgtJHrX0/+2NmguMpn21vKXlNNN37TYVQSkrRg+FxJVFphqVxKxjQ8uaOgthwFS
FF20rB+fNtL/VbbvVba2saT87xNNgG1dcf+isH36N/6qa10I2LAiBfaDEILZLH/VtZSt/0KB04FQ
G8BDxZDs32WtdP4F99rwhyk0n6rhf5e1AX8UwOIOgaZKg5P8R5NMUzr/WV5wO45L6e0Ih/YbZ6YB
if2Ro4RyXCpcqP2fqb2q/BfwmNizkSNwrbbf9X3uLp+xH8z6o27xSsDt3RIEP+a4VPUFutpN6x4p
y+cML9rQogXMNjD+4GFJV/FO25WVgzHxlVgF7A60QGA3eWPr05CEVImYLROFzr12JK1YOCs24hd3
KZWD3pfgjdDO8Jcoo0G4MpUIj70OsSkAP6CDIs26n60wPqrH3GijIvEUI/zyx4f8m+LLjK5fvB2O
DajiIuS/sPGB2758OyjhOVgcrMFP1U0jHgZVIlNaecByQHtFSRBxydnJ6upXK3S23MIHp9G+dQF/
8Dy1MyXz3du3dJBUok5Jc9gBah/AlIOGfwjMJSQj5N7p5NEp7aC4RNk5Kc5Wf2jp3aeWyKBTVTIj
ozD9zRBsf04nwUgIqaa4b+ZuYXQqB8ZSZ+CTOjvdr3GyIvJXznyKfY94LyA3LWLqYIHBlbha1wJd
330F2DFoN2iUDIjHvv1QL8GVPh0dswYxwmF6j2j+IUs5TmGSW9A0Yfqg4fwpqDOruanKuFk/vH0h
dtSf35MLeV6A7TI4Rvo5XO/l90RWq41WMcePHl/b8fYKEx7f3rg2O3z2YMpcT10TeAw9RVBaPUl2
IscbwEPv0s9fIiHNI3sGp8DcPvSkeGU47njJAp8sF49QDrW4ClDS7VH1qSz6Y2dAzFY0Yt9+9lcv
OfBESGMNGC0dBeTOXz675SSWbErp/SjhZzfIqCzKglI2hmu8vIdRN/viP8m3eToCF3h9UnBGBYS/
l9cC7VAWiunz40yOmvk/XcZpKRJvamDdJQ09bo7wRQxD9E7N9fohWUPC/AdNC4Ku6eL9Ec5wLes0
nindj9mOEGpGnq8Mx5uYRhBv9+33eQBmNQ8JCdelugtcVhQ9qZfXyunCFNPoVo8diItKniDkV9+V
bk+M2vYY8EESnqM1tquLJoNxZe+DMS3Wz3knmY5vqpKACIkUCdfoY54L6fmIINdueVHgOhkuJ8Pk
+6Txb9/0qw8ToH4e+cyyAdfAwTwIaA5DJnd27foHxqeau2CUX+S/RmexcHVsKoE6ToxWP7zHt6/r
vP4wEV8F+CusBR9K4MGFY8uxZ6UD62ENMGjCikcG2dBtZQiTiCGfR9FRIoHmF/Iej14Menet1jpS
2wpb2fE2q5DkrTd4/Kz9Q4KmJnUOLM7lPMCMCVrj23fLvjhYwNwgCB+zTRDiRpfk4NsG4A90Nejm
IQ0zPA03iBH16wdGk5pFtQJrgIIadaoTVxZpJbupq32fw6AWCKICPiz8ZPnBAqzyX4LmLj8BQ7IC
3ZHR8Zv813MA9mNFdAnmIRFfYSZESBiMlSxYqSMSm3ydWveCY7j2HKaHG0zdTIi2ELDigi4MJPia
qernb+tiGuobpBRRkd65ee4R5DG0FW1+5PotUlCbNp0yg+r28+qnmAYnc+jZxd36ge0fBV8hkrI0
oZrn3COmyVFNNlsPzleklFQOiV7M5fp57T053o66FeNNl/NPJmr3nAiySbHp4pu51HJcukKfqFi2
uacADm2A2GLXhWJqnlNeYfYKlIfUHUxCuxEO4qI4dwo0McRxMEKM/NhP0gyilxZZvn7baT+HcZ0n
EZe2EMXjrwOPMlezEiwkrnB2ytpvbZgF40nsw+a6LH28q44np5vrc/T7l+FsoBPKWprD2ES+DPPr
5TwcUVEt6MbTXCw2bRi77DYVgvdGOgq9YyT5fj9AwMyPR62lHYl8Z6NWxwsN7Jrl16F3QBArKeUs
uoBdLPgFO6ClyinJ0dz762e0qsW8EShRQLLPkmuQmPPS1QCZBoazXHpWKcFx8RqeKXl+q35RTLy5
IFRUOCfT1CMDCPVpYHTvpJG5omdJsrZFxYLXohZJF2tHoDfLpYl6Ti2vaGoWTR6LvLqh6GykPEK1
1SwXFeQMwJCAjyJWTeJiJbFsvRkFvF8IZTqxPOoT+Ldgjfw5W3601TzyDgGIYby1DQiMTvwpLNG0
yHerHDDMPIUxNKLVlawMh8Md7SKPP1toFpmHyCMl5svWi8c62TcAyLhj6Y5EgT24HegN+4b2DHei
EZXgdwBrW288i7rR56c0S+OzFeh1h/zOSnr86TbabXpuCZ8Bc6EJjQJ+8aMUqsgWaiFbcAkxWWdy
vAoBkBvSBbcHBiM0eVs82kV21cF4C75mg89vtpTDDEc2oLXMO27Hijc4zNPA61zRBuMnlaSA/kne
o4Eoj9BqNUvUpNbjrQpr/rd1kMdFLTTviQ2kjrh47eHMs88XvdAFBmQGVOIe+RVttrTP6AIyte07
fAmgYgO/9Mrxxls0DFzeAsqC8N1Pxtnu8upyLH2HH9jSwuL+gMoPZlWjIan7nSoiQx9GwjmYsYu2
b6M0QBlgx0xNmsiUloymj4QNBhw6sPKO+mJJfBvk1ooXZTLaav0QLIuh8YcdRBw0k5EvB5YCJaFB
XTtA0oCpEijklrZlnHvZdQN0BXlXcnXzhetsXJDxQP2+GyGRwlnMls2sYWCDkCi7zprOC8C63GNs
dXyb1g9x4rmvO6fmYeo4X5LmUwSy2K+vKO+jOQT2nvlIqBOICTf73ksATaBBh+UCIoDk7TMzAhfT
kpPYy4cgwZmtIMyKH3ggGBNFgu3CM0f5DIYl3eh0TlPUkMFbOPKqn4EdsHjwYDArsZ8WgJvFEpt1
aQ9zxxqKvawtknPk9lb+rHXHQeP4HXiESqAxvKVdVfA96s1sW87QXnWTcAm5OVrhfKXa8cEZ7pul
mvhZUUtfyQOVBWGOqJOhoT8yhFcTf5MSpuXPeh2buMSoyjA4egTV8d5DH4PwpPxZ8P5A2REdRt4i
ewEhyI4FNbbagwTJ128XJiCYiPonYdmt3Hg6WwOX9h0s8SC6gKfnrF+U5JSvYhQiun3ol+aQ7fuh
ZTnOwFEa5EVCvRAfljC1/OvZXkDHbAhRgY+KUF/zSFh8Nxo4jWtSLCMduPxAf4Bq5HcdQtQ3L2dq
Wg8CfKGJqkgqpPnkWUyrVsSxICl4ya6NpzpGLQ99+k/Qu3l49JNLov24TJI7ljkyiZA9qlSysfNh
JZ1GKGwwb/D3sq6yyfwZZsweCxdNA5M4iwY3bDRBrZBDixGDzTv2pI70xPS/TGz2p5Vk7FzcrAKa
8lPqSARzM8LurosK3YNkWJ1FfMf0ttSf7GoubyPmK+h/at1m7Zmo1YjPYTMO6oeqOGPOdVKh6YqE
NhzzplZZ+x0miViP6NA05aOfl6u+qYwy6/20OuV0vUaI/W3QxcYJE3mOSaFmThMJM+vW93xc9aYp
CMcr3SLrigdMZVeMkkqOVdrDPYLjLd8IvFEzh+0KC7oetY/xEVrkJqVf9bTgpsogzY02SltL/y1y
ncH/JEoctJNtjgWoMVIq3SVuNgpzaidmncZJjzMRJ1m5lWs5resuysrV1kcximlY+rE5kA7pi8vJ
RjbgaIxkAkOLBG29TVB9bDj4RC/POvAYIbOL3nW2i0OEW+CP9l20w+TRmH9J6eptEpTJiXS9fgfy
dlrP46i27WNnchA5itXs1Gjqy3JlRBR7gfVBQYXz7wZUUvLm2IZCr9p91NjzfDv3M7YtVoc+yo1v
+R1oE/wKS4T2hdB3q8R51oDqhNTqGKVatDuQo5ZK7KIZVM5xnPUYMAKUQv0I26rGc2kG67VrQ5ro
eVg/Mq1oxnkHPHlpoYAFTI62g1SNZPLXBb193MdMjsPdUNhBKY7jyirEVeRIqyiOR6FIa9OfaYjj
F/jnJiwG1JWcAMMQsRde71nGh52HyT/8zr7tpYyFc4Mnb4NP8YQ7CceSAh2ngjt0NJXydyqedIzX
s20n5CjLKAOysdie2DAa8CvrHztBKCzHOB2O5lgBVms2dxua9FFzgLMdUp9OqdhW4OwJJZkFrT0+
ypdySjCA8To1hedrm1ikpEHajhw90KhyTpm+BgOxHi9S8jOPhqAx2R+Gh6ZyAH2MFDWWi2MFzW5o
q0x8DYDScSuOwvkwOk4YTQ87NbQBYTLoOjL7sICv4R4D5ycLpndusmgEtBWxLA+RRJmgTU0xMj5e
1aHGAOJCrN4JGlYlKRE6Ph4xpRoqmwclLwGpsA2CSpuAWJUuZ/TEnIjUBDhzzwtStTQnJ8TumTvV
SQpQ4HiQq2zWT8whW/6siUE40zLPm5i91AWN5v6RuTBxsvBlyV9xcyfijupYdY6+j3Rk8tUoHok2
LpIz4mFCv7fBBzWX9UXS5CPHYq8QX/XOaiVNypJGvXlHkJVF7/warG4pot1UOuNQbjgP6RvAAMOy
DlFRG8/c6pIYvpgU6andI7rKnFK/TzDfaXiPRYPic78V0WTu3vFiixepEj+PGuC4uG78KgeLF2vQ
0uYOhs7CnebkrzextmyhzaDo6NMfqlN+YgP/CbOMwqkZkW9IiMxSzGzygJugmuPga6kdek/Pn5ED
03E+U/4N/S3KdjNP7OVMXjQGEFAkoMMlxYgjzzrldhx9GwsZ5Og7gO+tJjSiAjHerhI2OhqvqzLN
J62HMUtPlV2bpMIGQkYKPrmLKeRD0bJYKvp1zrzNJltLAO6YuZI4u7HJ5sdGaY1OmUq6Mfyw9qnb
ZBciljb3gxuE2Qeep20edSxIMm/LzjdbpEWei4YX5p78hXj0TaIGn5/0sIV5CMohHhjQHbeuLMmz
k+fTNR3HhENzaGC8ia3nKbJA4WmTb/bCrMcYnQoya5s3kP/Cd7bmN/xz87fJSvT6YSpDyXHpYETD
GZam0qSG8JISk8wDuuNmnrdH0Qd8l3KYGj6q7gh81YU3e2PyfQynBDZs4MhCsqtb1kK5zfCLYp/5
GnwBoInajerLanKSsd8lZRc6wxk/oPJIaqdm4dsO1sikbF+vmkew1QjdNe8AfuW7aGwo+RIZZfoe
cabMuNIVg8IXhdrS9y78yekLNFYCl3WG7aopAnMVULHZDhaFbCM/Ir2k8OQ790uwLufe5FI/wehe
ZmQSXK8t7sfUmXkp8XPm0yX2SK7RNaHmabMZ3QE0eJ4r4nCtIxKDOUlsqi9sfzx+l1Cz6D1+jtb8
AyQxpoK2Ndr21mPCRDnCZDbprJNQKG+4xbHBQ9LAmuAMfIA2Z4puKdD6piUy42GJHnCkTSKfqIb1
EXdxwlfrKxq6zW4OrRUYgsasjxwlChqoiSQhxIDVaal5T1up6qkz9QPLSQRcntYeMFx+rCImixMl
gxmOIoJvLP0TkE7QJJcCIaAfz1uvHlEuYFpmVREcnKUFU9Xu+nHszMKoJ9M/smJE3FiSwA+m+tr2
Z3AtvJDVVNxIPPa8yMmRZotTLSfqUjDlJXldpjw5jvEPGz4i7bN2TKZmp8TCx6Wm4GDDXgxaxdxj
RnAkcKnjx0R+DwrzOG9rk4m6tUsU307PVSN+4wW7tIUkQJAi4R/EtqNz5ZZ7NKNNFfhcWJTxam66
QZRtwZipFYsRXQlXKl5/DHMWOkWSzeqf0rrmk2bOYG59qGdOwj1wU/Ts9tYMfulSKpoj/MV1YUUt
bmECVs9ntFAnLzrw0hvACN3KZIABeHHvNdgiRfvlOXJE+HnyDiunMKvy7a7R3/SMUCHAb4+Bjgyc
wwZrODeY2EMDepjj3tSZI9ZRabBjYNiW0aYDyM8nffuSh1012lQoXgYIN/oGaXLYZ11UXYd2Dx85
EJOZ3jwvjTLEV+a9p3t9KSO/AIbIDIwYTR10Vt00UetId+Ih82MTnxpkR0EhzwRrYtfbj/XUDfyz
f+zQOpaOF7jS98BbHrYpOxuU0gTj/WH2qoFCZkgrAKJb8Pwp2zDVFUwlQOkNQWMADg/SC+xzG2Ky
BL8FbPqIVRldOEpeE3ueI/Pv2UetE1Mi4F3bcSZAn5743du3/+pVMXhH4SACeUU57trmz/9oQs86
rgBPyuC+z3AChP9ra1MWcrhSQr19qVdrzqMxHDEKYhLk+uFhv5s0KnMxR1H3URp6w3ISL2E+AW6R
ZotAC5reXXKHIxRkGxy8pQA00TV1XylUaIbTYUL//l75qYlR/cxm+4BejDkg3MicWXFEvk8ysfD7
nzgR2vqaaFcFp28/++FrZmoaBGaWwZg0cJzDFTkhfz9OUeJ9pydB6YirOV2qEAkDIuDbVzp8yyCf
bJ4WGCZXozl20LzG/rEFEJA73yFEyOKyV6UpzbOcSu1kTF2TNb59wQPQJ1ArxmAhIhlewISP9tHL
FdTn4UowWfR3XTMnSvfai02YIygi8Abivy1nB4e/ZEmjrSxQYnwPu/Yk4/TnDiTV8tzIRoVHwnxD
eurlHVAlgpZRsv7epvaCvCOzrLXY0/VIo/z4OW0ZdWpSY5TFTfz+3RS3gt60vCoBwDI9nZ5fTgV7
i3dE639hFzeADqkWVkyeORK6YmrCbhd6PWzyTeYUPdFaToE5LEcIYnBe09hm4wMjY4ZulNAGmkcO
pHq8XdFuqyEnkcy7/WnGaBm1/6awTG7VoQxAsEABU1LFgKwyxznUcHIb2XnmiFdKK25LPjfoO1J7
omZRuCZpysP+KeNzHZMsxzn4Wro2iGfy/pF803Qm3XEGm4JXbEFb9u3v/2rBSR+lB3SOQ/SpXy/t
gcoCRsS6fGtSFPH0SaJgDzW7aO1NBvC7Zf32JU38fvHBCbWoazGjQYA7lAbM/2fQYlC29MhhTt+i
BIUebz9kkSguQTW6hXVldzZ3ALMuGiiiZgd/cJqwJeSu9wZFh09umNtgtYDT89gM3g8GL7Vo64lv
mX4rGtqfZ1ml++rOBTGmL9yufwcgexhBICEjSEOnSGAuCbXgYJEDnU2yVHXd97FV+fo5yKVZFnmu
TGb19ut1D7Y0Px3YnqGLSyZv3ivGeDLNdolXoHtXdz3OKzHtyx73LNqoVLpZPnE6IHW+Vvwiadiw
LmdUvT9TrAU6fHLmowVDyWPm96CqSvJQB0A8GXaWUKGkkiDwI8Wy3bS1Zsu0AcJeNGxC2D+mTYzA
BH97hEfLw1lFwFmUJJaZFDkjTEOqKgdxjvYUH5VsKY9qzI39y7dfwsH75h1ExBWbfeo/KckffNwg
SPqoEsN8N1S5OZnjhlEFNIepoXJ++1LewXo235TgJQBcCI5FFANermdseuipOn58GyIob641BLRO
gQGaVH8g1BOCnmfvJSAd3gK4PNMl/f07PWJil1Eg2LzcwIcqbgYapSLSuVUHg+PUKvLBWi86tqpg
gqWqYjpevIGCaY/fHuUxoG9Tlvwe/DEtMkMkq8xd9s4aQvsdIYNX5oOv6DwGX62n6bh8bk2MDh1Q
fFWC1HzJ3CFrmaBXEfhRndbQ4qmMnkdo7EjWbs7Mg3MvjulyIM3mYJbznjBe+PLzSSl9JvngJ2HV
cBYCrHz5SlueAGEfFf8oR09+zTUWKUcu49ETEG7Kp8ef9keJP0fnC2YO8U75cY1gaFF+HpMMLZw6
BH+O6RdCyKisdBuR9u1dTP3afUDwdky3aTgiHRPlHytGbT9G5SM3ILSFuDOzHHE9BnFzngKMvuRE
Sleq9XQsdlaXe19W5sjjWawRz90o8G/+jq4hKver1VMclKitbLtIf/A5lYojv7S8S4Do465XS7tn
Jl5+hhDsn5Wly5QgVz3tvKaYGOH1Tvkd1ERwvsy4tGwQVYDv7yktb13O53uV4lG8gX6Q0sJIug52
YF3fTtIbPmeeB0U6tKHyo34cqG/FEHWPpaX0JyRWO9KieIByOORHjAkWta2ZF81bBFYyazMg/H1W
1vhxT9FIwybN8y8DIHO65jHCyP2km9sVl7Ed6aeV0u2z/K0t7I9+v9gP7tJ33x25+nfpEAzbdBbV
eSG7bI96c/ZMdvuvjJyXwZoFwViZYBaQKhiRwEM4DdrTGI1i8fjI95o/oG5dF3tRNj1eF9oWd2/v
6Jcb+vliEqCcOebJ4Q4zknj1Se10VD8KW1ZghGb7Frkat9tUVXE5+p5xp0qa6iMjQqRg3r72q5X/
9JhgdRjZEMQP65Eh6CKUF3T1CCGawtUrVYEWtOcAfHv7Qk8/6T/H8NNTQuUCeBBhreJFh0XkDHDa
HcHKPDpTw57xXI6LTUPBk6HbVcqbGk3bm6zDyW5jl0Gkdt6IWe/xmAViN5c9sC/AeuJaCx2d1aCW
7zhvO/Kkoew/VxXJi9vXldq4veN/tI0WSDV44UVNe/bj6C4uHArq1I3TOEjwwk259ipUzDeWrATd
m4JZnDOhZGHraHnETLBnlDBoNL4D+96ee2+78v3eyYUOQHi8EpMGkAbxXjzO6MOUwLFkN/vohD36
g3n5aealx16TlyfzOt/XTlR+8zCD2A0Ik5abVlviBNkihNze/jKBiW4vvgwEQ1PVAQYEOCYOVSmd
IsZ3gIbxYzIwOKCdhsnxHCJNuOuYkvS70a/mE1n1aCpklqqY9jQVROU5uhyVGHv0dRPrenUS/wSb
VBpn2ghaYjcWbHVhXWZLLS8WD7qgV3m39EDL6wafCzJWBmPLdu1nxi44CsdbqSJ8z1yK7yMjer6I
HBVqqdB+pVN8kiWNusZUsux3TdwNGKKlw50duMVHq0aPDeV3Zzry3H7Cfg5Nj9upjFDQT1ubB8BR
M8KMPGEEIPM2ZxDCmfgJtnl4gYaC/8Whqx1vGDrgzfj2yzWH8eG79eku4FFCNSsPjWwGWsJ8dxk/
tpkfXFmtl39WmbcgPoUB1ZUzGRGst6/ovAS+sqoghxjULXgkDwjeIa/OASet8QzIf+YKgWzaZogo
xMNindOoxCQUZ3oifZDoR4Ugx2ccOPuLLIvsj9YYeUdv34t4vbRINQmfbujCtXGECT9/NAz0VCHN
ntT1z2RmwEDd3sTf8fWBxYxBe7Bpbbegw1E1xj0goFe4y1MRnKTAYXf0SaJoy8ATppNuEDXL+nI0
rV9a6LXVpZc45nYnrefNV2JIk9MkkIkPLy5yp023OOgVJ3juDBvthM0W+axAHVu8lqO86K1LyGXw
kmhlWBdPMkXwxjjOMGpWR8nE6Y26Bap4FWNeMkqvQputbEsjGYHH9H5k6Pk5GClNyUW6TwhR16dp
VWIHrCVwGVYi46KtoOv3wYuympEriDrcp2fmSr1AUXzbgX24nFSEyEyTYfy65f01zinglEkf2yJx
v/S6yb4iI9j/8jM3o9Uz5siSvf11XscfVkoEaA7omuD7HIZkz2USWsxT8TPE+EZukKjMH0B5LEwN
+WTGKOtx7YYYBUHrYRnzCT10Mar31Dr/bsGGBoLM0YfJDb2Bl4sEpFRXddgP/IwRtRxwvUY3SqxD
Wl5kpUAjZB2jW9xwhyOcEhBeiOL5G5YKI/413ercvvNO/mbDYtZCb5nQAdbyELELQWUam7nIfybS
Fp9a4XQ3LtLhO0lj95xzcbgayrY/U35dnZaz51z2teQgk2U/f8hkGgJIhlWKQ+/g/QI53wYbBEaK
T+/c5auUQQrwrqiNQgFDS/iwQzRWmENGrT/8pOvdJndkFiiy0ElEOb2zxytXjAUzJbRF0N/XQfMr
XW2JjEnsqunYk033OYjK5MKWU3Hnan9gQsIpcIR0eMnrTnK59VvGvc/r7f94FreL+vm//3P/WGU1
etkUKT/6F6wJbOq8Pz7wKwXhi2aAt3n/UjXOef63/hIRDv+FdjAYe5+C/kkd7i+yhRX5KMARY+mp
CGC7dLH/zbbwvH+Z0At6D0cwIt8fIsIuP9DsfAofjgqD+P0nunFwM/4852hSOkZtl5mOmQ+QzB4E
elRvpwEfXH0a1LGkoMwt58ZO2/UyHImpTUvXCbqPtB86S8a3UMo11uN1jEhNFp91hjEnEey/aGxR
HyN1hOv16JQVYJrCug3RWtnJVAXZvrH7CIRgPl8DrRp+5oaTO6dJ+dl3W9xEDbcxAU162dg+knC1
K3GXB5BmXBv0BBfSWk+athKfhnp4j5P8MnCYN2BkGuCxG9Fho/D/MorlMMKR4YKTOGtn/iDiDlDA
AoXY7XvzXNz3H0vkw3MO8f+wyf7QZJRI//s/L0uU5+sxkUFwhW4SyPeDqOka3DEZizqdLJioc1I+
UEgjyRLzDt6+0ssGz9OVJKQBiTABTVsC9csnW2HPY5MnytMpbjsDwoUGugTWcQhA+NPolr4Rbopv
3r7o3zyeqco5mVhMKASYP/8jc8htt5uquivRe0oXOikDtOfOZjy1G+YArvA/v5rhCjFtor8CiPzl
1VDUneC65OWpY0+gvWpdrUez0M50jffVe0fMy6To6X0CAuciNPj/5rxjslimVWFnp206lx5T3Lgr
d22LBUuIStsmRZfmetCDczFB7jxZS9krfGNE94+fmUYHozVkGKDevBKjx05dLtRI+Wk74Ai3g0DT
7UQSx7eRUFAQ337Br9cQhxX6lJAXjMjIYamjW5w5ei3yU+Ws60cm3x0ij+xglaoiPV26LMgRMQDE
/851Xy8jwO60dRk2QDASh/OGIsmnLBEqP8WyZUTjka85ecME5jkb8n92LaOhYsP1AVPP53XQtHi5
iHwkHskqo+w0Q/BoR3HDkatsvZwny+Tdvf0+D+Lt07UwEjF6LdL2g8PBTQ6CxdIWa2hd1smhIpLV
WcmYwNm9fZ2XQzFIAjyToddERp/EzH9fPtMgoJ0AgM/gmwYjJtFTzkP5C3bT8YjaRpplWHbPuked
DPBjHu/Rdkvfaa4erB1zDxSmBDqoCyYnO+jOjejZwTzpuYcRuT3ljK27AQ6QXAIUwFQnCYNdJ7zl
nRb60yv8T+n29OiUbTw4VRRn6FPT8I8INCYCX7VYZqdpGHtfdC6qM5RblytYAykINIVnNZYZMwx8
emhyCyl+GU8nUc+Pjihb1HLGqDor4jo+SQC0n8VZzP+sufXMXv2vraq/u8+AD2P8DSPo4E812B/3
WQQeBu/Ssk7gLokHIIq+3tJOjfhEKKqLE0x2lMTTwpJyb6Gdd2nTDyk3Hq3c0wEcxHnUR/HpnIXe
VWSJDnTESLd916SRfM974/WqBUdgRuzAnmjrHd6qHdVApsspO60iG2XCImG+hZhy1+/fXrUHu54V
8//ZO4/myJFsS/+VsdmjzSEcYjEbBEIyglplbmBkJhNaOTR+/Xxg1fSrYr9XZT3r3pRZWycDIQB3
v/ee8x0mi/xk6AZc/vt1b0w05p5M75NjRYAJoNrVw19mdDuRQ8m/O4t/Wc4/L0aLEO0ANvz/xnrn
trIFBcpyXqksiNxwCERe9xsgAhkC05VogTbkSu8n55tWlCRYVbLb//UH1qlOeBL/fLtinGWO69HB
Nnk7X7awnImfwZMRHpx+VPPRyQ0W086bzPoY9fVyp6FHeJcrICFJMF0AsYxJ4kySjCEMKlziR4Cq
nDxAprfd4EHnIIC7hnyZd5QHBlCxSx634SlGJ3aPxij8NUx9DuU+Xy5LzsgSeoeyH5xmyk4GhLer
QQkW3LYYjXvZZ/aDHdfi0KEIgsgP3CMQdaI9aqCA7+YoNHs/L+PhplCie8sJSX+H7RpeWq2GI+BN
ZfgLjIWsT4DEi8UnsSY8LK1utbvUiVfoiQNlFLj9ankkEM96I2xP/8Hhynwa0a01QCQH0uFarPy/
8qGzCGNDXMuggejRS2TyZCO1iAJdDcl7H7N4V20kfyF+c8lYKDg2IuIXLrmliRf1OxHb1n5ktNIG
6Jzan67TG1ukdc43NIfKvYcjwP3G0x9lu6zyuDzzWO3ONVrWToHL9NtihTKYMCtcnPVvkWLyNmZp
WtsmGaEwOEmuPXqVOV/YZ4g2w6hw8/n1hjYwJKOMxV1tNgxnK8pm3Id6BDDdEAVNkcgr+m0DEKre
Op+rVY+CQHULK5SrT9p3gJbckQiMwQDkuU7WR1Lz3c0SSepGCRE/WoRbvvQKod3GiER5a2YGbNfU
4nUIrosvdleT6N44ybsSHj2BUCli2TzACRBKKVof0sg0n1yE24avGXy3BaSg9zwqjJ2uKustXcWo
yE9bSCsh9rc7OWpTt+kyNd2KoZluEnS2ccC0MflO/c/ShK78WZ+FlW/N9T4sxgpsTJ+CyZ1jt0uC
ZdI5wOhFtWCaRv7m06xcLhFS8ZDO18qb6doBOJHUEM0tBeecPl5xQCkfgC57OsJXaLnBtgJmw1s8
RuKA/Jy7V678EBXGU3WABEijSVbao41Sh98xsuZLxNDrlLlIwhaN+AmU6vQ282bXpY5+iMalWo1T
IFe1SsFjiJOjcFV5RTqFtUmwSQa20YoLNovl1DfCPpiODB+jzkEM22dvjV1mF1oeEADR8t8Ui7Mn
vxMZPakfe1I3zG+uy2NXW8VeVHPH5JPsBIFmfWNQ8210G6CrN1XFxlKYVmmcWcazlww3mAHmEzrf
XcwIfjf2cXWiM0P7WSNVIitGj/kTHyvPXLVBqpYTbtfB6mmtkB6d9U2hMbhERXKjps71h8GcgoHc
rA0bjrmTTfJkh3axncG2XOXkBoo+k4iXypEEL6Cn2QJ7jG4EKvUaom3ixfe0e9692nhjSIidSytM
jFVWSerXYBw14b42dhvSeTPrfDNPLrtaXxvfC5PWJooufzCIarJJySPZ6nEYwquqdKLXDkILSvB5
OsX4mjY1Ms6gIsfj2mZ8tSJGmzsd3slJG2QWLIt9ZtxDdAOgl9TBJ7EuIlH70QiizsmQSXu/JGS2
8efITE96ZRE6F2qRc+5lzhuqcssUSDqM5UkulrmbxjzsYcEa3hWcrOaGg5IVByNApCBzYKjA0Yme
ekOMD3MlOT9UbU2YST0s8yVzFnNLG8whrKBzf2LoUscpt6dj3HgFF+UUfVGRuHflON474zwDE+/7
7br/rHkhNbPGpG6K27ZzFjKKZZMTgWpxFDCyKtyombNIRnJBmZV2iwfJSViKSqDUVsiO4OBEJLKP
0qfn/gsKjnk7bxHWnpaYVW9UbRQ3reiecS80gT4mw7XVLG66ifLKRb2CDBPpe2oUV1rdZrsyzeTt
ajfa2ehaXro0Gq/Mfgq6JBxPqALwqhju6H03YRWR0VkaLcJC1slj6an4ZDac231jdKF8o92tfYyb
HSVCrt3ls3K2xaxey8qVO1F0wzfiHNxfnTVlGDJK3Xg0Cum8TOPiLXtCazW4XJgSw6rnPMYo/FAv
i3c9aY19h6saZ2BV1Rvmqc6BCtqDiKYbnV/rvfqoDdfd1vR8T03HZLWwxMVjFptvkMid0QSUHGFK
B5l97t3lYQMfIjRDk+I/jS3aFHDNtYRUC73LvRM/qvcwyR40LKkMHcPNwfoxLaK9czqNrkFTohUC
OxG4NreAnZa1j29F7ulR5zsba8x2dBPrKZvb6hbTCT7rUE+PYdoYK+0pwUUwoMsN9f0gJTc2imga
rmTMFJ5xGzU5UL/GMc9eRAoN+dSA8mSjBwU5F6SgAo/Nl9Z96zs+EgtNsxnaMTE3LsjmxM9CEBWf
Dm4QcnrrR2iGn0sxmdcEOFU3RM1w7Ef5hPESOE65nTOtshCRDfk+z0rnm8xsmjhVE11NmnSJLQ6t
/Dgj2f/oKMfP4PH6u87SJqw1tTe0Gy0r2dMtb1REFg/ymoq93meF41AA6NUp12eQOUNHBz0tcpy/
srtx22k6mGSVoF72XMJ9F3UkPFfDKBe6V1UzhZe0L929FQ3Fe1Y2jr3NoBG/WJFsdngrs1+eLBJ4
2Phfjlpf0ktKc/XstPX3gpfeqqaycoIiFyPftOid30RtpSOLQKsdce1xlsVqTYZcXALhT5f+Sg/J
1BRVChmwT7ZZYfwYNWaaSV/TxpeeiRg9iuaLAxj73dHLAUBVqgWuxx7YxCY2FDmHAVjA7lYHZvGe
qow1Gz4ORNnQUxnzycFymkw+daKnAf3DtqgVfWGVU/wr1vASdgn+HB7srqRM6rRfjR2Xl0nWxnUy
yv5Ji8Lh3VKJ+y3qPWQz5N1oeTCJxZVse3ORO+AGy6I8aLY1nwyiTyOkbwM4QT25FlnRBJo75LrP
NK3yURzrG05R0TViZAcSc0NXw2jCoyRtxeRddROTy1RckELnQZ6N7BngPQnByfuegHUWpxhXdtpM
Bz0cu5OuiroPOsuoWM7mJXoA2mzMmwma3lF608rOpjvEfZl7rD7toj0mSCN2mJz43dgU9iairlO9
JP0PLEULFUacB6VW8C0oN/keovTO146SuKwumRKzrpoOtjDD51ka5ptm1Bpwo348h5gOH2W5pBu9
4mUnJCBPOm5Q3+il+h6CKOE4KbwNiJInDsbhtgtt4cdZc2+bzxFuYX9eWF7DPOSmKp6FLIUvXO3e
GeBDYaFZNgzPdtai2b4qO/iEGRmgE4cTQNYMp3UkvYgkQI+WJrxvYijes9wgZUujTvb7mOj0GeiU
MWnGrrfHj24xvT21vLVplOHtMtRwiKPsk9EWkmSuQfcL2e/cyIs2IDyYaYTcziKdALfLYt8v+tuy
Avjjqnf3xtzAWynmfA8WbmIQgn0MV2R0ScuBVEJh+s1SoEgfBuOU0NhFQRlPp0TNwA4wkPvGNMAN
qxU4ZRiN71nHBJYan12Hg9DJ6itr23pJsyvGrj2LbkrPmT7tM5tcBpMDFzm1k40gZLoZbSxDsTXZ
B4lncCOKwaU0AdnYu0SDchS8nfRWoIVJ653btR8dxOdtrVXLXreTiqB077vCYLRTc21fdTW9gyUS
x3Rs73pTe0tsa1dBvuSc4l2XRXsqtObbWCw3PdC4rrKfAHdeWHJpGOVJd2Wr5RcDl2fd8+4BRO9B
z6BwSfM3TyTjfiElHL+t965L0W4WFfWBp+nyicQYtRWV8T55OgcrYLiBGxvH3MZ25hlil/b11RQ7
pL9F9o9i8FAxFHS1falREURj37+Qt/ZjGpKjnfbGrgF9Nm5mb45eRN2uMSjKzU6WqskSn2diqBNz
ry9bgAGvE/khB3JrzrJ5Eu7QPzYuhtW4TR4cM4oJYvEykH9D/6oZyt1O49ARRjqqc98r7aCmdH3M
Z3GSZuK8Yqsr9wnGDzeAL6COSWPTHh3TtZxwPNCO1ahzhE5WGuaiE3fVDVJTu7iY7hm1eT9RHsza
SatzGjp+hjNf7I3BGM2rjmyRNgXkMJBmBFGS1zOaLH2DfGRDpCOspDsSWcUdzbyqVj5dTSvt8LHl
oMvbKK78jPPQAXGSo113fecwPNaqNTrbo2lqtyMlZ+ZhiusJV3CjLCRP3eYB5KqMGGToUojgQcAr
Dr2Asijitu/RSYWgD6N1pjFXffiNlDhtG2oNNUZFCi2uLZiR7HHPmMLmi2ZJquTEIQNgbmxxjewt
GbadB6ys6B2WpRE116bU1+pET6bhI10A06b2rJ+Fni0ITRT8yAxOHHZbmtwRAMh7HRvm1paMOul3
DeK9qkZbXrp4WEteryPlLJZ1+9KUA0eHXLPFHoO9OnK256U1praY7CnQyQqLgCDrDvXVaHff7bww
gkRx/POtuL6Vatlk+lAeyzpK0WNU6mhkLRtpa4YnM5Y0BVqKfLd36BGsk5rP6yFi07ZzZSvYCNBR
qROGPSTr4vXzn3huYdwLm7L/E1RLeNFygOlfv7VFRw0GtI8uATHcN+PCsUej2GTWs5T2g5fxZSYq
lr5gDL/7bBTX+cQYBRMKVlT6xnmR1MJPEsIdNI+3WCCCPNlLV+5t1AYvVdLxAZKUV2QdWe5aGi+3
MsmJjO4Fv3qJmuQY4iU8KqRWtxmZ2zssNpD/sh6wcD3P3WYiM/II/Ct8rCVlXzPEZInLOW32HNVW
uVyfOyoYsnDM/GShK0LzksWg16lOUBAFFdG+zTGDkFNw/4OQPHtVVL/R/Ev2pHnTUXSXK0+p1vD1
3AO7yd7RoXeLlgp4wThaZ2bM4lrqo7wCXMKEbJE0r8IlO33edxpoyt2Q8guYy4pxVvlyB1seHuJA
8gXvL67DX8hi+LgaZdZd3q/fSd4zZdP5n/xW03UFZ+Jk06TcWHq9XAwi0vbV2opre7iXzkwICFZp
9IJVAlzB4g7oLMFre8P6gnlqP2CC0LCiDG5QQy1Evl67wYRg7hWGJP7w0lJHp1z/36rj29LJiJrh
4TgzmjbBvbMoTwbkEIvXWJdWGmQdPtqk5b6PNY7XukOfNfhsPOmaEf5adIumUgr2mNgpJowEnLzR
SizNgO18eEKFoZ89fQxPQxxWb2GMbm8OYx4dLeYRRkXHbHLswlNY69Vbxsz+6DWThqK0HdY8Q5WH
+j3FAZ+wNGzaX2EUZZyAMfLvvTIxztQt6gWwOf+gEHl2IuRyuQwtAOAxQxf4+cAabRb/LJA6v0Ft
4dITFtETzvTw2NFyLfze1dq3BZ9YBJPirmv4O08l2RWL7ztSvAFscELp0dU/SuF6G49h3r4dVHjC
BwLKFazNSzPxBCLn8ehYlPhs1dBtowpusEkL/FIX8FDVKGe5WexFv8ojQ78pTTs8ydzknXdUPjIo
WQ73qB9pfjAWdQO53gVjTWtO1pKWAqAx0K5uR004ej13ibOI90ik8G9tYHjQOmuPoBElw4AkeHvX
wzn45ll8U5EdaY8LBcEvhxDIYg0l5B5UYubOg/Z4SiJUfpwDyJjVIKsEWDQo+whxGNCgUCdvKDCm
V/xL0/dpcFcQJgdyiHhsMtuYYwU7I6Tks94O5XU8dv1jIkb3Zz1Y4a+kmrzTION8RtfDzmQlY7Ob
pTNHvldyBwxeE35LgX2UfqtMFQZORYM7yGsgR7+1n/8jdPhboYNFJ/4vgJIqQTn0Z6Kkt/7J/yNK
Cg8pA/MmBr+oImkW/lPkwHQdAYTFMMph6sWUg/b370kJpvMPAPKCuSJt7/X/4QUJ6Oni//O/TZCS
lOjM4zj1M7t2/x2NA7qIP7fYQfNL3hfx6ZjgeHtfB+FF47RQZu3xrCfsSc2aJYbZHb4FuSfiiu6L
axToRh1QAPvMKPJCvHRIbnVk80gY6EpY3aL81YNobHPENnQWNjCam9p9gGVbt6SQ90SK6f2mHoHn
7ixzLAvC97z5kGrjiA8UYbpRDEfV41AZWn/pKFXrS5nPaRkMQ4L23HPr8izDdDqhnBs46K5M8dli
K4OdRQNds1+1thr2YzU40UZMXuDJtD6nq9G/QLat+1KuKQ9EDZWbJO7JiYeWA6kWeYO3HXFVjARh
LiSh2PSl7pdskBTDBlUtKobhkkBTVlsjXmWYaugTuvdmJHLYwHQDgDbkrDZexUG2iBrn2sPrDE6K
vK59o2kVr1nPHWtaNvT4CXCKxIWVHWpaLrt0UQ7eZbglNOOslHAUlrrhxpBh+a0bZ/1+pMAd9ki0
uyBuWxR7UT0bpM9GTBDarAAcJJvhtVMkq4dLhZdcRU09HTlWsEKFiiY0OH/RG6+42pvzKPV83xrk
All6Bkg6qhsdfoE6Q8old8yxnHEr8CXUfpKN8ojcw3n20nk6I0D12j0OuqbbxS0HGzqXukXOIJFx
d42dbQ0IusXe7PIQcaOc8IKlHeEOLZKZjRyKwQECYKkqEETCk/EwFIeGAiUAMdq7O2Mcx+3YpdUG
IvUAc8yg/vdVVNcUeEzWWHYT8bZInaBRydO4WwOIt4KBy1tBzWLsPFXIfV9N9QPFZXwF/CN/hV9m
c27BmLGp4U8d8iGORGAoes602ZAfo7pT4JqaTY11jptGn/Rhi5iW9XWAgh8DoLmZZFMTIqZgiDRW
dGIAMzl+ZRYZaBZz7SnEPYHBRDAduzA1jl3hkB8lnfA7T4PCQsGh9R1An07kddsN2T7qGuMxzJP+
OKrC2Rk52nEW8rB9cK3hByoNbW07L0EILqagOJsZ9jm1WWzmCJrXJrLZzQob70MWS/cbPTVjDxbN
ptOIaFAP5EAgSUuGrBm0YfMooQVdN1hX3vOuCIO+ieZnBiPFIVwIr91omvBSv9Zozg611t7MjH2v
G0kSn99VaQpffaB5JNtsZR2E1ZMdNR0IHI8zNTmVL12TFxOmpTC/z6za2IAwqvdDV0DJcLkPndAi
4pba/w4iSb+ZGU15u6q0DBwSEnrJVV27qd/Lrr5RRejtWlvkHyXZbkcywavNFDcEIU2zR5O6+5EC
lgrMmaREJjrwvHJEtJVlvDGCfJG5YodlRDTBPTAcppUNQuAoZ4jQxHVv346tRl4TnRVp97P6TR7x
n13xb3ZFBP6rpeN/3havP8b/dfmYkh/VH1WDv//ZP7dGpHzCsiV5F4Dn0Hz919a47ppoNAROeYnG
ZVWe/XFrhKa8SvvRhVOF/HlrXC24bGgO1idUt/9ObuyXyb5ADIz4jyAhjMs2vv0vGo0mpUAYoUyd
ldEn85tVMVBlnXY6aytiD2a4b46YmOZDYlZtoR0rAz0fsTvSKQ8VgIS9rbXzT2VGPU+bYDWb4Igs
V1NpOx+Nyp0AkCLNl+ZQdpGdEWOS5eNsPaADX0iW84feMGpcSE6pch8TFTbQbbYsaezdiETrsIBU
/QoHqm3goPODWSqcszbtDvEtN8cV57ZYmtFvWOZEiTnT1UaYio7Gg11IwjSov2U2xWf7t92aqLal
YvPG4M9Wrv+2r9OxZ5NvPzd8Fwd1Ll6S384CMLXWk0ErilJcJSjL++0imh+x1qqd09TzrTTy0tms
CAt969qztnyvS4Yzv+lo/vMA/t0DiPGXo9xfPYDv6ivqHKXa+ke/P36e/Md6ILU+VUFCAqv+w+OH
/lY6gtKHiokR7T+fPmt9ZBG2o55HYQehmAfz94Mpz8e/8bQh4f1yEsVwKhDaojQVZI3xxv4sy1oR
L2Ktbs8EMHpDfKHzaIDjh03WpHN5HpzEmuvimAwhjK5ecwkV5pzyKCEyH9ulCx/ywg0RUvD217gW
+8ZQrX2eUvJG6KQSRLTSvWhzm0rblfTRX622KK6V6zRpwFyz31HYJdfG5JobzhkRNeuwGNtaj1va
JNK87iI6zlCJmp0Y3OI2y9ARdOPY33uwbVOYe1H2rNikTpam3B4BmV2+imYMn3sRawbM0sq7J066
uFdG92y72XJsUS/s6WFFt3Yjl3uh5+p+IhN2R7aufbOE3bTVRpOwxdpbcBuahFjY+rS1YovwsCRr
8sc+Sac34gSaA7mmIfkdi82wpanbW5aW+KUpsp42cJXiPIsGTkqxoz84sonv5WSn2wESJhFmopzO
imSss9u0T4zwu8jXEekr3xpMYyPMenksO0L7OCO9Z9OkWt8E2XGA15Ocm4SZqF/Wsv1O/2YkZ5bf
8In89uLaHYd4pwGsPKmCZR4NKBDBfKB/n5aZ6/opIR63hteSppJHN2OWpiAEJ0bXseT8bHveQYzV
iBS67M+lxogm1gsb+Q8GlQfc7/0ugzK0YURr3LiKlvBsNOXFacR4ttpyPiA9N99YsqpT6undA7a1
nPN1pmVbSu6OAj423GNRW/0FDpDYNUDgYITl5Z3WCfMB8l73zfSM/NeMnuHR4NgfkMlb3sA1065p
He9w0XX4dziRb5qp9G6x4xevuLSGnU65EpSdIbYjnN79KEja0Uw1/WzGtr3Ru7o6p1M3wS8dEshL
3DiU85rn/TDhYqJOUnqDiW8xS1zleZxtLbuM78oWAKpve0jC5xC9UCGqYeeyVfjMRt4GY3CvShhc
e4uD6bUF62vTl4J9x1iwlbbRBAcA39120Lz0XGNFP+RR7R7EYOcfKdHnt6ImujHJouUmo3ZiNi1D
7YdbmS4tx6hl0NGMds6Bz5H9FQGbDutXHJ9QWqG6A3UcgHPDRK1THtJin842sd6IFdr+Al8XB1pV
N8OdImDpW0MgsqQSqqcr1O/Ro2dl8sZtLF+5dbQfBqe8xWXU3RuwOraZNDv8H8OSFdyTpeMTYtAj
J+4m0lgRBGAiGksNEgU5HUczTcOj4dEXoa3Z5phUaAz64dRg8iOxo3hmGalv5zJfDkCooNP1hSTD
vBYXJ9YRc/RDXW+cJnGpDObmpoiK6EbFlhHYjW1+J5UPEQXP9vTSkkYeYSfs5wdATSZajDInliTV
44O0UUT2y4Cvip73GG4GrZHDrqxncZOG0CM2miyJANGyNTNXp06GZFWFNeaUJmQlSeolWIrqJ8Go
wvV7u5gu5uKQjptkMskCDhDaczS0rbdNaQ6EGwYvU2AmOtXTAsmUdPKJGZZfu/V0R3K1/qIQmvRQ
WJlBNLuc6kxMFw49LsHQvhkV/WTs6MVHBeXFOJNet51E34qHsGXsaT9FTlF39x2JLsNqMuBpPzFO
a7Vl07lpMdWBNYB7eFDpFLk/LMYQDPJioglH+VRgrmqcrVsTYLPT+r5Lf85OXevZHjqOUnRU2Nz+
cw74m3MAnZv1XPo/nwMub0n58ccz+O9/8fshwLb/4a27LbUi8lU2e3bd34M8iTXBMYZaGHU/NKk/
HgKcf1gAMpgfeYKJBtjG/zoEcD6QWM0Rbeocn1d3zr9xKOCc8Sf9J2JXSgNeB6k09sWvVsuZyAKe
/9XgEm5nbyvni5ve/OHb+HvLCVJzNgKJVxytMUDaTxT+H5TGKJzX2aW3HIbQ9LPFXZOb6Vbwlf7z
O///uMr6Qf9wFdzD0yRjrgKjp9W+V9NHJ//G0fKv39WfP8gXR4uTgEGvBi5BwJEj7sgMbZb3v/4U
60v8UY5LkxB/pLTxWNF3NL6aqqHKG+WgucDNLU5fbCVobevqriiavYyR7P311f7lA31ejdSGNbSB
8vDLedCZoO5BQIcBWUWMzlCv+knhTFs2rjz49y+FCYiacqVUISv5888jWruemLXwwWI3epxodPkR
kLyLoGvzW8fgf5S2fxX+r98hhyd8ZdgquOKXn0nPJNBYk0uVuD/PWd5lB1ulcCfxx/tNNBX7Chfu
v3tvcFFDp2bHaCdR1X+5qExC3dAqrMVzxrdooBBiQ0RbE2r856+/yi/9ZOB2XMrAWLGacGzrK+Ms
M7V6qWuNjPiZDC8/DzXOd8Bsj5khJj/PVXNbzyTDZ/kSX/p8+jtz+npXfL1HDdoDmBxonhviy10D
JL2ORRa1BxfU8daGLuzbzfj01x9yvR++XoQiSLir22hFIP/5fpnIGZo78gYPXdfoe2ckrsGPHDO8
zg2xHBZ6tFTvnLZAQajdX1/6v7t/TAMD2RqqC3XiS1OCNsWkR9QwBxBXM8ogyWk91WZn42gib9jS
GTPPMWHuf31ZQCH/+vTrGMn4sAabAgXAl2+2pYRKI/jlJNKV6gfdZjGS+0lGLIqL5SDDLL83RcFc
L+8ZHrei302tyU+AFmcPNnTcJ2Ben42YTPkNA+Y0UPQwDFkMMkAlMZ49ZSfoVpQITFhxO5041IdE
GOgCnKJPHyFuTrjOnfSqtQeE3xUyNrcOSAtvt3mlD4c+VRtyYGOBRkK3g0xz4ktek++YNT1d+ERV
SF16BtUid66Eu9g4F5wSHY6c44toNJvJYg68QSDZjTU5XFHw9dyoU5cHCzl2594rlieItnkAo9TY
pE7zwzYKBxdMYW5drRmC1lmKvWW0Z/i23dNUztbdCDtqr6Gm3FamShnAc4rPe93a0VhtfGeq9YuL
9mwLEmgiZXIa7k2HLqrFqPLsLDjzq8U1ZpS4rX6Bds9WiGxtE1V9fBemw/gDNPF8NyygjCARTNwG
Q8r1kuVjLO3wlQ6oSgMCL5cnbDPSDOCZfyg1MYbA4NH90hprgsSSwhvxjMSNMQh21t0wCF5o/YLx
F14qBGSdj2Og3tgz4JICGP45t1Hg+QkJvttQlg5k/lbPaH0R2djnqXadRtZH12oWRqKu/5ku05O1
GB8ezPRvE/DojdVryWuXTelRzEiSqcZ4kMrR+li1Gp4fj81ySBtWjBTbyYSgZemoo3m9YuJ9pJOT
nQpPts+wsJ0NcyvnqnD7mFnxGG5NqfR9347x3Zgb6TEqzSHwVK12I86afWUY9L7YcKKNF84hOLpZ
IBHJ3Yg4bcs4IPPhAsZib5om7fZj4RItItPhgVzb/qGrQ/6x8lpuDEJM7uDfV74gmOrksvZSHlT9
dsDTdON6fJ1+Y+phUKAyDgyOTdfMUdL0CFOqIC0UND2Y70QPNz1RAvdWH0bYRhLxkJagvXwCIOUN
WbHpPgacu9ctFb6HDr1U7hItvDZGD/VzFmO28C3CXyinQ+uGzFEjmKPZ3kxLZJ3mWjXnRltlN8Uy
HG2vtm9D4Bn7to7NW0cvovNoyeewaJjck1dJg1AOAl8A0rhjozpA0v1E2Qw1NnyHlZL7Xj1WnW9q
vbavMCr8stLM/YXwEmaf1o5XymHkEYPx2EaMTHQmd67Yam3noVT21u8jFJkNCm36meMioMwfpnwL
rFQc9FafDwWEvXMeRdYjqpZlCx+TXGlTk/repQu6l6M1vrpGOHwvSQO/E5CTD0Ni5HZg9ROCEycZ
kBCjv/2hZ213aiCNX/fmNL4pYoUvZR8x0tEX8xF5Cm6HtkX8NDW6vBqB0dzS01h2Ua3c25QAKHKN
5HinSNi4ndK4u57axj7rE0KPtvHkVVajD9Kp7DYM9+yHejbdoMO2eED7QYSsFAS9+42+Ll6wo7o7
Baug9BcRZo5f2rYMcKZVuyEcBSwMuyv8OK/ih0YN6U+52O1BH1iEMq1o99wa2GpoT+/quW6ZroDY
DcjQawMOlNaWMMDmKh/tNVagauLHBS0CY0IiiVYVWGwHqeeEmCewY/Buo0eDGMzTnM3NFar2eZPL
MGk2qV2K1JdF6h3p9Mod4x+bcWBEbDsoJfgeE+pDEWl7FWdkqJY2QLsN+lUEWJ7otmJW6vib3ilu
3HkXEs+6dcI1GNAQubcZyPyMUfJzwDHQ79wSitO8j03XsYwN2V0Ozn8fpwJiM6vAd7gty5ZBrnPo
jHT4cASyIAM/5NWnmgfGPunDLvY/mp+V/t45JVaYHFXJr9bDuzW3E7YiXSDFWsU/RmnLhyJGtYOf
kbT1RTqrPguvfUtG1HZwM4QS3MML3y74Y7hgq2dgvSSuFDR/6AOHTT/TpQIjtUo+s659caauDVBl
8E8tZWrbz4jrT6GZ0ZKpi14ZUYYVV89DUjAPW4O80YqF22TRBXs1XZmxQWArplWGUvVvrmd2R3iE
Li35PpWBG2Zi3d4zFk81XHuMQ9FRxXSRlO4lF9pQw0XXusiDHFdNhwrVueG7yOSOCtAQaaXuUJzS
VmcG7FR216/q7eVAZjpvWEzEzHoJIjZ9asXrp4cosVbN4CdoQJKLw3kGJrO/1D2XpcManibCk31d
IbX6jFauExuzsTbx07smoauVg0Cvz83456dWKVt1VIWy5VWoEygS2S0G+yaCTdNw3txTiKoj3O3s
GXyaty8JeH/wGlvbSou0cbdD8xZ9KhvXza710OZrKSq/0UaHSLQWkz8Po0CM2vHWVLP1phdNvi1r
bnCbNJnTwh29wV7cbXE2lB8pe/iRDh5DjMwG+B+5NFtjLbrp0t57KFMMBiC30Giputy7yrRfO2pR
mIOJEZ7zEaDrb5okA8r9LTm05AxrYvgYylB7KoD+oy3sUj1wNfv33ynrpvDXLHizE1KHnbBq/Rql
nvYYhRmLjLlq3nOj32pySr4R9uTeeSRW7DTRyxfm6dbLoDTrJZX1fM1OZe/iJtaCOUm0ANUb6tYw
rC5LpKn7Ki7KLZFQxVbL4AV9fuudxDNWta57Y/xf9s5jOXLt2ra/onh9KABs2MZr3LTIpE16VgfB
cvBmwwNffwd4jo6KyTykSr0X8RpSREnFAgFsbLPWnGMm6kbNcyikVR2fmRXuHlkQhZu3U78sGIib
wUTfYaPuX+dETuyysaGVJDMNIaNq8BHDet+3KLyufEcLdpjRMAS8juXJ0fCfKgZ5OhQnziYnGi7t
mmgYBPbBUjOaTqK3yJMrVcbZzkLz/OT6fkf0hkr334lYDNXJ4PVPoDSSupguNIk0M+hdOt1YaEOm
QG0WzGHGS8bhkklh3Omln18R9TGtosKkOYYXa3xQcZ2aC8rO8Xpqxxo5aOKep+5IYzmx4yuRhMqm
FcgyDSp9Z1jihmvN7lG8VuVwhfCFpdsO82ZLEBeiuWHK7GSlk9QeQdcM3TVrU7dzq5nl6EM3vOib
NNeWJHoXd6gN8k3LhMMeCKvCGTi05koiaEWQa3XwOpAWjr1W7iXuxg0gCmVcyCRX7qDXov1yso4d
syFIY+rQpxLTyafZmGW8mF6pAU4n0aKXc9S5lqcPKiLgdVaimYS9pH19tekZGdYro+/JsKZTSrsh
KsDMG7ObFT8TSHZTx3+BE7VKbHtv9ca4dpqx2jmjjohPjB0Wzsy1umHRdHhMF3ktpoNqIdQHDkVg
wtLnD3eGImmEuHNXpm2UeOnzV69joeUJdHjpe7UWG9tIFdMudnxr28toO9/RlR0O5Pu4ZnhJdDv5
4W2U3epDUq1xVeXrCV7ulrN9Uy2EOepfRjIrYtYGeSs6gY07iZQzvBzXLRlpi8JAId/Hyg9HNvZG
M/In0WLSSOPRP+c2klWqktSyMAMaj45T9esCgeDW93E05OxLzrClIuAgBotaZEvJGp9QtmzAMemo
5Ja0XTMw/so31KhXg16LjT702bxvkzsntHWihaK7vginZeUogcdsteVBdEtQCfkqwGG2ge/wpOTw
WJoY0xWiF+mvyHcIFolACq86De4vszTWqV1yv3RKiLtp4RYyY2NeKf2LMg+DJTGS+dqKUpgDBXEI
27nP+yVoO9NLIP5Pi7EdujUJI8VtCbGFsIFAldg89fAsjK3yOs+T8kkJSHVgVc+e8RhjE+lsvMta
ZQyr1CmTXduN016P3ISs8bD1CBQxsawE0rg2HHIV4sCqbsuAzCK8aTbOlKFCzTJZ1nqwKx+MdRhu
UxfaGlBWqnHkhe2DWBuRfjfyq1tN2ZnmKgLFMaDDijSpQPSYF+CyJmd1/pXtvfY8cBy/0Ny2UZeV
bhaHTsYV7eii7a/9CQJqAyF7GythvWkczHp6lqm4N10F2wABIVW7IsfkK90v2YPrn8YrQ2viQ242
xYb+fPVsVeyvFgOhRJej4zbPSRra+8SI8kd/tFUCQ/JWPKjzCmlpUBXV0Am9gQCDszByjIswq5vH
vBGEsjWy36dm0J31yph8a1Bm4e/UeLko9Pxr8oiy71ltq3M3znhB5l/ofCKlvdcS3TivGk7gFiQb
ZLhdbnDWrY2WoIvGuBe5na1xnmkorLsuvCyU8UfS2c6TXtg5drPJWaJcmcjaSeNl3FH1Z49HqlIV
ZniJWmXoV9ZYMZPFaezFZZeipYLliXq8svYjpwoAB2Ja9BpBDjWNhDrK7pQUx0TeUNBill9Qs3VW
aO84FGvlYyViQVYSiuMFNCbZrkx2xtvCtbK7IsmK82ZK9V1V4S1iP5/h3BO4eUqnVTxR90rmcVyy
lB9jk+Jl7Ctzp7WW89AokujPErsNpxgivJSIfqBQmnMWxfSarWL8MmiiuI9lIp/KthzsbamY2Cci
H6jYtitM34TrzZbGUJr8YAiAgsDlUM8mlaV3ixbJxb7T2x/g8nGXUNk9H1wnh2NWTN/yUrVIGLSh
vijJ5VR0abGohZJuG8ywS/wKBYGtJW1KV5bNJYXA4DJmM0SGYBqTr+aYEiuqhXO6ivUbvv/vc4Ia
iFfoAYsWuDY+nmbau0XdXidgflYG2JsHOqKChcvW1lqe+Ye6JHeBMtgXI677L/h1b6cWp/GGhmy3
QuunEc4xMbMTt0mCaJveOq7dNyTJyOrGVNM6W/oWBtOwVTdTh2gQo63hKU5hbMnttM/1xEL+m1St
DaDP5Wwa68FXGtRIU5gJFyYpVdihBvuOow7rCd75Lz4Ev1UZuI/GYPRnaqnpW/4VHZyLbG6NyPhO
7m511VHU+hpMPqDjpHcintsYX7ju1G+7atapFY6zlUE8VNRXeCjCtx/tLjTuoq6osPvQndIrN1wg
7+zwsFvuxlTMLa0j/ZozyAMTcnI1lJO1l9KCMtI31rpMc/+lcJNpmSLZpkwo4kvynrGYmWi2Fjrp
V95Qm4QIdn1+k091wA5Xod6cEX3mjNnBjxTr2pZqsLJiS7/Uwk781EAzLou4L9dVGwV7Pw/bq9xE
55KaiXlrzGmpeOwnX2mf41zBT5HU24zpdt2VolyB7lQPvt9aXtrDuyiahECmTqS3DTPuoh3ycu26
nbqt0vYuaCeCumzV2guCFLZNX30J3dz24iBkxWIjuGciVbxMuN05Wzl73xvYCetAJux/i/wnLbEu
WqVN+VWApXiunabFnxbAQPg6x6+qZ1rZ+mfElMQrqiU9g63W71pdgTCqkFLvXkZpFRB/mks5LERV
lOZG5pSRl05YYfwaq/QuJ5JmgdrH3YbRzJmhhHWHQf/HMGB/Vye2KpUU1V6d+m8Ek2Uo6tH0sKni
kCTxuk0axo4scrU1xwlPwTKJFsExnwDMPmR4PZcGUHCPXWFK+JzzrdYjPEYIADDgsb6ihfDawXqx
OYIM8XRuVuqBPZRF5YwykdI62jfDTfszozDF2pKCQkqSV1eBr3mdq/g/Q0uY16aq6Id6cH/KwaD1
yad3D5m0ClckgkicG9Xgr9BR2AslNwmbc4d2rUcyX1lN0C0ccBmfIHTeV0GB4hrqDBamFAqc7m3p
V9SuVdgR9VdkI+ley7p7C0OUF1icbl2bQv7HdddTTRA4dqBfQN47r6K7XxtHQQXDGrsal6sb807q
cssJYFhLdCiftFuOyJlzLA135kImYxtOx0U9rixP059FbTiV/bf6tUhPhuB3pArDQqlTDZwHdizL
mdSX0J9PlD31uI9v91T1HqYs4hRDnEhISWzRILlTK7ARgXEwWxgiZUCd9OOrnHqovMK5ho2eWT/W
vBsgU6B204N5bYdAIaUeSbLVQjPi8pP3d+qGDHwt8DcpzcHQejtckqHNuzHt6Sz1Ml1h7fxiOcWX
j2/ns2scdXcis9EtvtbKw+N/MVnV1nCyz4BM88s/7ngw/jReDsMDZdjb+3Dd2Okrvak8srIYCK2q
7/Uip1re9dFTqNBqwUGnXgVEbaxK1PE7+FKftXbef3oEMZjUUfn+XM4vRw0IgwxUoRSu9AIN1UlT
NHNoViLPUyXGmIZ+ZfW7z5XrYb9AQ26iNT1mmEv2Vs4Ik8bLCLY6M6zxgE7E/mQ+eT8WkVOiozOp
7yCrm0GXv37gbqDhn0hSBFxN0C7rsoiWmC7OUUJ9hjw8cSVuAruHMXNW37HxXNK2pnF0Co+pDVOd
Up+Rn3xXVvHDx4/txGvSbENX4TnNbWJj7mD90uu2yFYQbmUX3hSp6yp9Idd1GScYL6T/CWz82LzC
lCXeXOqob8tBFbmNxaXazqV6lxvBIuttIiMGt4MY1OXT/WjSmEZi7FcraVDiUyssUxb71nUz6c06
pgW01WvO0lklqIJlBn5E04nLfSMGOAh9OF1gnqCqJ3PygGe/LJurZp3qmDL2dpcOl33RUsYiSy2F
DW7Hix6bySc3amjvPj9amRT3VT4AkraOu35pCvKalHeeaR02jy6a20utc25Gy4pesqm1922a0kRJ
McqBYtzYycjBabB2FtiayKQ9o8kywet+n/nsjhoL102R3ZS9czH5nC6zIpHrOukpOkTCxjkSC2zC
2GkWFZr6vRIr7XJA/+zR4OpXTQNCiuvEK87x9nlioGWIE8RIA/P1yg365WSjSjKYYFyelk7qgTvV
6ld79h3+9lgjnkRDwcGaxbp/NNYwV0jasCPPJVbq846gsh1vffDI/IHhMPii9z6+4PvOL1kGsOUR
zSJ7AYr6dnCDzOi6vswKz3UaA8BcQY58UDXnliibre8EzXlI/eXOAKr1W/EN8/IsaGujkwfKBgrN
PprlqwDpV9haOXCrcXzqrF77Iin63iHRjX/89k3S5WU24sDDf4576DRH2HSOLXkgXUVpFN5IRc2m
xdQc59WO/NjIWdZ02UYiPqncfXzxE9MU+yph0RBDIkGz+e0TtpMAdCesbq/2CyxUfX4XzChCMjj/
NG/8rRTj/ZWICOB7gi8HLpSItLdX4iBYB3DNUg+73eM45v1Kd5AKVqkQvz1M2W4gmEIYhQzjHc6w
rIuiDUh1oLnY9qvJovoi4qu+N60Np8/vv/sADVVwY/gfAISax8tWEKVlboB29+itCw/aHJHK/Uhh
t05F8hlw9f1kz8XY2rA1MOlqHS9fkgZxaLUZd6YYd6FQHqEnfY8HcRf01id7kPlbfrsF4VLocyxu
jeXlOP8pEyQd5QrdWKhZa0HBxC1Msg/SblpMM2wmRef98ZM8fUWXrag7C+COCbqKUdoOvLzEk1q3
T9zypRi1O1El4P1BBy/CVj//+IKnRiQbb5CH7Dq44tGINGvOHY1vJx56yf2Ydp5hJFeRpX5ymfcb
RqylABXhbtvsPo6VVcQCDVHEP+11ij7zCnNjV5JYv/74Zt5PlVyFWDDUpDoJYcd5MwBchjyOtcSr
iIsFTeNgeW5/2rl1iGVDV82ZlmIsPpkl9fcrJVdl4gC/YGKcPcZxIo0GUBGiqnLxuCx6AjNY68oE
CoJLq27K6WTVI1nqC3hOCaEZE2SSvFbtbTPIYJfSTNr0bIum0ZQ3+MSBX5Ylm4N5WyBnRgbaGOve
1WGQAqwyP/ntT74YuLSMOA3Z9vGLoS9JCKbBp0uJKl/HoxvvlYFix8cv5uQoQ1c5Y/Z15I9Ha1hm
SJaRoEjxHdnpoig6T020O8duPtu1nPhgiUacY4fgonKGfTu/mnYq8lLmTERDScyW4oe7wVKHzcd3
c2oGstgCODhKLFRf8zP9Zbs5QdUeglZJUBAAXOlslin4VCAf6vQrOInf30VzZkQmypIxI7yP9W2g
Ga0O1QVR7on/fX52VWQdssp//PiuTn08RIyQF8oT5MaOnt1QJ7k2FXw8aWQ618moUWf3ze9UXItN
FZjOtz4FAI2Kpf5kqTo15yEkNdhXIxl8d+ihfqKGwugS4ub0qyZXAHwEm5KEl3i6Zbr+5GqnBjzH
Htzv+H5gns2P4ZeXB6sTHRlkPa8MymSbYZ499DrQsI8f5mxKerd08BBJ6jQ0gcz5aF51W31oTepu
ntP26kMUqsVGQXG88GMxx6/Udn8fz5EqbdF0V3LMk0sztcUWs45Yk1xs0V3CQqNJEIjgQ2jKtm38
2elWO/nkydGdv0xhsv95+ywqv1bNnngsj0oXtcJGvmiNWyyRltS7yHYe24HqhI3r4jzNRfSQ9F29
893iS0hbd7JmOFifGTuqSO4Cu125cMm6/OSweuI50thiC4rvEvTl8YKY2vwO0cB2u8+n7+WkEWRS
oqjyU5rY48vHL+3E4yBmhw/bnBWr7LrfPg4dOKpqAOvzJl/7rlJwWGXkVtVjmnu2S4womuHmkx3G
iY+OHEsNKhqnLW7yaJjg5B+HKii4vZiMRpIalzqte4qZ1US21yjvZdWT7A3azvv9eyVsgRRNdjaa
OJ4pDUw5UeXUhcdZ7RIEVYU8Nz0gSw4ArwUPo2MGn2xtTr1JHi1lAB2fCFPZ0dO1aDnUhiw8RQ3k
ctQ6WpO5aA49TE4vszhIf3yHJ9YcbpA9lGBhY7N49GgzvzLCqODRDrO7PjWqfqXKQq4Esrj/5lIu
cEaYAiqiu6MFobSNqMlyjmiaW+TXZiqBidmNdRa1mvbJ9HVqjAo+qNmHMEuej8Zohy4mn6gMeHXW
3gGd/WGa8i6teX9RIA8kKDa/fThiAsN0ocPJR0d+/AFqAwV3vZ5yb9InhD52f1O11aqkDvDJhU5M
zGiLsWALKs/YOOb3+cvEXE7ApFSfI2AamI/BMGydSd59MiQE/8bRhv7NNY7GhKvESWwQE+eh6tUW
RhSV+9qszRu9BWlAaCcex0CF3NNXJTD8OLgv+spGMUDDpnWqhOJfiyQqj2j3GAMyGNxV8ESB9UWi
qfZ43MKD7gbDMh8BCPmlmm+JZKI3lTgjVIrA30FRQK2tDrC0tBm2HdPDu5ncDMVFroF7LbK62qqd
9N1XHv5VnKrsDouZXZhE1VU42OFWq+pxl5rotDoRZhedUnWek7h3UZHUS55wssmoFVWLELWQh0Ip
WxT9VK79lrD5Zkr688IQERDuuN18/HhPjU1WcdAyWCjmEJ23bxAyr2xGi7GJVvBFDs2LE5ZXhlA2
IitgvvXFf/HZsedms0f5HmX80fXMcMylCMbca2Q415wuez3Z9U3+yeb1vb9gDuRB4c/ehDKde3QZ
eLghVko391CSHsoyqhAOOd9kck8n6oKu9LI19S9BlX9yZBKnr0uVlifK4fp4Q+aWUNrL3qQmUozT
UziouIQqQzmgdlfTNY1zzjjSzMBlJp1ckauG06/Nmcil3u1MpL5m3Cs7obbKRmuMfOmjDmPAlVuM
H7Sx3PirqXUc1Af0QBCTg5XbaBa1F3taBZp/qydgJp3JxPTcxEYC9Ap6VMzvA5m0/IHwW7uOnXTa
guWXGxxd/O/Ew+H8bOK1DVrzASrGZ6/i1JxukY9ECBNlBqHNj+yXOQKXppnlSZd78O1HukuLsVe3
idZ0n4ysU3PRL9c53hh1ZZelBVR2zzFTdZlTb1hmYbj++HM5tSBahEnQV6DfRmjO25tRpV4WEqq4
R9PJWZJIueAw/lgkIcLaevzEdHbyYtQrObPMkInjba9VMRmBd4FEG1oZJ9FpC4x6gwwMQWUTffL4
Tk0EFmV/Vgsse+82v+k4kv+NlMKDznSA128tAfk+Fmn1o4kwb4XWJ09SOzUubE5JHGDxUr3Lh5zq
MuX5sk+LsS9j9dC1vTNV/U6nFr8qhBJ6RikBEpauuIlUP/TGAGVzQGbUhRM4ycYtjPHexheARtsP
sPB+/KZP/npMiJSRqN+6xxNjP/i1koRsc3pZ/hBu8BDq3W0qaCb/F9exHU6KHH9n38zbEVV3yhiW
iHI8TqIl1ZzmJR+VflW01ScL6alt65y8RIll/i/76DsUvYuMGwGW1yAcD2t0bn1+qApzHzvaVVrI
uyx1PylUnBrAv1zyeMMaT0aKUEfNPKUftkFb/HCNFIWrta+K7pMzhzg1fjmR0iRj+8hZ+Ohc1PSO
UU6DnTHN6OOXJix/EllhLbtUc4i0JO9jxlcuM2bkdSRnwbGizfKsCuUP5O1Hg6LKoy+Brrc6smWs
LZgNwqa6DSaXdKo8TZeZXzubwe6dB8dk1oS3Xs/27XpY4TuntFnoP9VeR9MOrnMo1S9x0V7iSSzX
DVu+yOn6RTaKaN1mo35borxkscfi/vFoOvUU3NmpS4mDcXvcgE3Tsq5zRMreVE67qZm0RaMaj2Zp
nlEzfWyisf/kgqde8WzPwDFoU2w9fuxlrAWjZDPkRRIkZle2Vbl5hWeKAPYz3DCEqb99i6zrs9uY
mEB27kdnEtcaHYi4IvUSNzDWYTVaF3nIDm2Mi/oxJkbMQ4f09eNrvuo1jjahaG/Indf5RDnaHo2u
QBlTOrNp5llQR5Zh31q3Rqh1y1yM5llYpOkDEQGgOQ0kW686ZSeETpq1E7x2tERbGHZIZj/5pU4U
MVElUPWZZ2373dk3GMyp9Du+6Hry0bOJwNigShOb2q/qLbgksWCkIJ8ySekIqnA50pNBfm18lpQl
TsyVsy8cOQYwJRpt+ts5TEUaYWVNlOFbjgWtkVncHAnIrAgsc/OM12XvmhhJIj4LIPopRWRNARK4
AHfbXfeiVzfj6ENDfY0/bCb1iW1xvg17hhS2iWSDssfcosv9MaLIZMru1oYVh2sEg8aqUvLGCy0g
AkPY2isnONOLRNwmIh+u+Gxxoox8CI+h07r7VLWfVZj1nxzMT90/HTA86PbcoT8uHFFui9O6Edx/
mgy3pOggSLOG6DEiyn3z8Us/dSnUl2gNcKOzbBxtQGg6EZc3L0tk5ISrUjqzpWcok70bpsHjx9d6
fW/Ho36u/gpOryyDx8d/iIlp2xP96ZUdrOgFII0Rx8dkaFu/LDoigFLtTCtU/7oZ9P5S15XgAOMP
rC5h6ls4TtXu9Rf6LXzDRfStKuriZ/NKffhWlCOR1mHzig/495/uCsSn2Yd/ZfujuHzJftTHf2n+
bf76h+q/4BJzdOmbP6zzJmrGQ/ujGm9+1Gj4/0UwmP/mf/p//uPH67/yKb7B5Nv/iyTwLkX1f6rk
Ja9f6rcAh/ln/uQ3OO4/LYM8O3A46L5nVOhf/AYyVEEmuFTrCC8FYzajHf7FULP+afIjcxQcWe3G
K+DpX3hRAA4UaubUr9kPzw71twAOx1SnuZ6G1HmeyCjk8ZseDWtMjjp4wNbYESvjcDhTuktiAbrt
BMh6nwbSpHNYIJsr+n78bha1fU5AkQTNqWn9DW1TRJd1qbykQEUuErryl1PuizsLQCEy7tJChF8b
9mWYdvXNiJzyDj5Puk0g4eyywNK+FKXvrEkti/fUh9fNWMuvHVhKbwBjEJHnQZljURMl9k0tE4Wg
0cDSseIn+m1VR3x6eZqf+bZIty1eDTEQPFGYerR0Uz+jGZ6Fe62r+12OzytbZooFt5kInX0m25JM
i5TkpNJJt2XquOcjUWSA9K1BPwwKXH47SohJGiP1YhSj0i26QsgNgdbpViv04Amjl3upKcm1Nljt
ha9rd5M6FgCnfVCh0nCVhSpL8ZPUdRS3GX5PB9o5qoysaq7dUTNInrDFWhjmQDQKxMktR6fyew/r
dCMqwVE1qgCYtkVyL43YwoiaGvG2zIbYc+umWWG0zFaqPWrLBhPjY+FE/hUmvv5AKOL0zR378Smv
WnEgeWf00AlXlxaZNweq2iSE6Hq0kT6cIMxm8ms2B+R0eWBvEKx3Wzw63AYVpYWR0Brq8h40VmK0
3+Ges2qYRNe4JV6/YGdguVq3UaouErXIV7XpX2QJADDFUXZpglUnkMX0aHSV3ErZEW3mIvmo4yY6
ayyj31oqCYB6FmbX2mRPsK8oN+3DscabKKa4PSuNMX4Ixsh9tiUqGZiyJRxtq78tu17eub4RXRDp
pF70tTrMqnMRPfqNUZ/HnPdv0cKU28xAUbnoZaF65pCi/EmYxA/TCOQOC+u0GW07JZOjdOwbuD44
WZHhO4Qti+7cAg94jbXIJuqxQW8+b6i/tcNQXvqWlXrj0IozqynTbVZa0XPr2NGTLEPtMg9K85Bx
0PeGEGsUCC5xpvdm4VVtgafNKOq7eBLucshImc2Udlfmfu8vWKudS12W+nPO2fdCBkZCoGdaIh5P
qUhlSU1dywjNq7Tsz/SwNxiOGP0VjETE0DcvYeuo42IcEm2NEct+kaL/Ycoh2wUjAQ3ZmJm7QvpI
3B1w6aOd6w/CSL6REErugRIY+rPt5HdFJ6aHGt/WdlJz9VCEFmz3Aa/o3lRqBOUUdNXLsKPAtOwV
S76w2Ymv7QDM2cIQwv0GODzc5h0/FExReu9EGCk7oYCC7ZLsDPtKBspXgOFtMQRz/sxubVE3X8ln
p7jd0OFsinwHCdTaF73EdwimdLJs8j6iNE4OFA/TG9NPPWskrcVChL4z0KFgtW2TRctk+dwUxKDa
lHg2YyTkCkEu+Uv5EN+UtYpvfZDFUiRxuJxwyi3i0kyebJLL7u28VA7sIYslL9RWcbonKO8trbwG
JbXpU0ue4fslcspFMd/E2dave/XCcdx0K9MDEITuSfH7Ap+G0A6xGggvp9VaL9OeUPRc7apvIHL4
TQx11auYKQqtB/OVzrXREDngU2OPQKZKdUqjRW+PxToH1n411UWyJaKO2tM4mvay6vAYL0FEFovA
H9fg8mtQzEULzxy9+30wjUa8SNFAAEoOJNNcDT8qbbPprFAGeTGSJbjWNOUp1ufsRWJixBpelr1g
BlCXhPFYkKqiR3RF6i5Va5XQa7Is9DgpvqZWOJ35JHMezMyB5FebQ4ZtQWkOUUMAnW3nSxOO9IuF
C3Qbozm8pi+SNcsyE+rlzFOHZ59N6UJ3UmudicJ9cFk1LicjDB9hnETnON+/uFNjeayI0xIyWIcG
34gYSn18XuN9XoIYcs+z1qium9iXF7HaywfFj9JLGMvluiCPY0MvIVhNAD7XZi3FY9JnumeRTbOu
fKfYhEOs/0D01l70JjIRQ8h5cWkn4ymEp3ff6BpeHStK3I2A3kAqDVS3YkQop2h+eK1pEZM4UPFF
F8jhFv4WXo7QnFbENpTretCdM6oMhAkPmMSvhB33DDTAxngwqQeWaku0UiDabR4NzS5xp/IeAsc2
0sp4nYz+dJ10RK6UXYeZamxUgn9aJTdoaQ4bS3Jc17pA37takHzppZ6seuAuREyx3EZ84me1r5ce
p5SBRBJZuc8JksNVlvfqU+pXvsfMRFZjA3SAGuH11MbKt9Kw1X3ZOMomC2x4d1Ge7kxD8Td0lWqS
znrnnpKtv9FUqd6GXQTnrLN9As1GxdqI0K4uq1F+zetp/KZOLdN/WzUTTsnBCLaDIPSOjDxBdp9y
RvSQ3pE6VkUDkpyiNzOFfKFWJc0gidQD2/qKtT+Og7vWnGkLcSsBfOTEjBwk8WEehlg3WgyljdV6
qityH23fkT9hRSS7Lg1xIA29ch7pRP85eXbddXniNWb7bFb045hrwfTRUG4JArKezSh8oWHykyC5
Z6cYbmjfQ9+beqJ0hMx2VW6P60pGdzihy30Z2vZdVyb6QxL3+TfYV8Nj5fODXW6RpmBFI7zwfRlw
F+2+pJLfNVvI5HKyLthq5YG1mDD4Aq/TC2C0VhGF54Nu2isi4VrnWjZytJ5qy/+JVFA4sK97XhzV
KL3cKB0dEL9Qt+3IrmebEQJyQbqeUjyXTKDsvdxupQ1+spHJGGR7R0mqVd3H+opNXnJGSSDft1Vk
P2M4kl9U24cc6CNaObNDWii0wKbQ36Z4AAGtDzVhkRwKGzP+7oRDrdyb0h/MNS4dsg8LJUqKHYmb
YpXD/dxWNOs2nVU/1nbQLyqy31cqDPVFExiPSIl6zyKRaTlmTXvJ3xw2bmqznUxBEFYGZBacXAtV
KXCOBawyit0pHnuR+3wK4UvQ6t2zgii3eIqD84HDzTLItfESJri8xFho7qcG6nUY9S9Ggu25ci1l
URtKu9XyYVzk7bzdEhMuW4Jqq7MoIgZlk9jWuOoKv/GcVBjLhHSMbY2tAvuZccgm8q5iqQS7yQia
Xev7PhRMPdo3anBuadScVFsrz3GxN+A6bPmlFciHncEct5Hsok3cQPhTAhVIOZ7Qde8bJQzFMGEh
80t4pLxmrwVRD9hUR96s+nAkWp9tdJmU0UA/gT7sd8vJLeex/iNMrf0jWs2XBjsOtNivsWu/f4j7
D45n/9k57/+hQ9wfdYG/P8Qti7SoXr6/IWH/8TN/gbB1MiLYiDB85k6dw/nuTwif9grChqOF5Giu
DdgUxf48xBnw+YCWoQ9COEC5/deMCKh+UMZmI41pChpW7u8c4l7V5b9UC6gqO1SVca8g1eGIdVwt
IIO3VH1lUs7AvcvYZTF0nbF9qjrXyKt9rGY2k2vCYTKMt2yLrMg8F26a9ZhGWdXsBmrnaJTB3nB9
JxEXuaKjkR0XsGHnAJYFWVURLd0kBp2wnak6UXRuBn3H9Ap3KfZbz5cT17pXTbbm9L2DFjBTeK79
ybHuZ6h1OOOtlY4xn+1n5WO7TP6AYEt2UOqz/krHhoZRgcrGf4nTZe0YQW8fmJpakNpR1BBC4Bp+
usjIkcuWZpuLnC1ONeHdJ+XLT5YB9FECVf//V/OflD4EcmHKiX//2Tz8qNB5N7+WPv78mT8/GwCV
BsVR10LtTCfYFP/+bGzxTwNtizoXLsnS49z578/G5LOhno2Enk/qTe3D0P9JQ2gGZFIvQRmOdeVf
pZ/rP74HqkZ/Ky+fKxu/fDVoJswZKslvyEUMXHVva6ccyNspIs7Vg1AGPysMQR4HUvwxfP72Ku+a
P0wY3OMrIRMz23EsvN92UhdF4IM/o+dMe8MFjzP4xReKLMM15hixI9qWVbyYmvL5l/fx5x3/A4vk
Na23pv6//2d+X7/eouFwcYpPhNHw2Gwe9ttbRARNFmbiuF5guEWysau6X3WDxnVNNbmJNb14wX9c
uos6Z51nRxf9GOhEQjqoqJWklPQBG8TRtunwCAmpyH1LbCZsHpy5yzglZhpkBVtgzhMXbW37Nxlm
9dV/cRP4lXCUueiV2d2+vQm1MojYaCbXk9Ogr7G5TJtMQUkX2f14L4XKfknDmLhWMhKfNHUonwmQ
IvKlIN2cSFJ3uLZyfbiesSsLtZuireuGJJk5SbrDhpRs6A9pd1nUNpsxn0jHUrI82n58D+9qx7wH
ivSzIAi/1TvpYM10145g+FC+lP2q4qy3IJdmJM8q/vnxlSgnvnvjNIVYBmjHUSQ8elhmp9VZqXGl
DpOfB4abl2c5cl81Qh5UM8h+V4fEnSG1dYxZ2/u+WatrdZ5nSsr1gqg6MKNwKoXj9Ym648TzwwqC
RRN9Gmvcsb3KBTTvpJC7vErvo63DUyshrXhJ7dx9/PheSaK/TArzF4MFBFshH554PynEAav2fMLy
dALgd5Nd62uwsNF2HHlxYyYwNmKoqFFlN8nN2JnOOc30BIKT5t+EnMrPMtOUB1pjEJqsjp5LqUUk
vXUasKQgJY2sSHP2kIzN+y6wMWgKwq4VaKY9KU1GwEWG0iDewdEjjyig+hF0WOR9fJN/6BXf3CXK
aFZQdDp0bNnVzM3MX5Qhvu6nHAUIoO1hxSyyoOh3duDXO0VWqKoSIgItUfwc0kpZmQlJlQze2Esz
NFD/y96ZbceNXNv2V84PhEagB16B7JNM9hSlFwyJEtEE+h74+jtBlWxZHnXKdV+P/SBXlZRiZgKI
iL33WnMNWtXtFKDIS6USuBQdWXg1eLKPmq6Si+XN5mcHkexHq7a3jTbqD5qHZN8nv1oLGjvMHnVJ
lQ00AwHMEE9PcVTomyJK5j22OC0dos8sZyBXO8u6iXrdgh9Xlmd2l/gA11DfGpGdHIj2oCFtJfk2
1hmJtEbpPjahBbmPnu+mAM/e+XUUvpLxZwd5q+hVVstwU2XaCBZ3ccyr3K2z/RCuQ7pBN0FMwRKw
e7vM6KdG5UE1pXru2gIsTZH5RT6LG/oG8zeiTluOQzHxd6oz9lYIQsJPbWCTpOvYG+EsmKJjQz5i
xso/OlGs3sgnKGERSpge9FniIvTHUhp+WcTTC103Gig5nFLL87JjOgNmX2rPvrEzUn1IO1gjTPJk
vOm7goo7zYi9qtutmIggjkP1XSjhXgvY5qAHkmgrnOaU5/RLMlurt0r3jtMgigv08pBo3GLs/KiB
54KfZC+r9Gr9PjclMXcB0m/qqRJBn5Ybn6zYHqmsY3mMVJ5fmWE1P4lMdeRGEit5oXHFGWxe6e+S
/SVI89HY69ADj/RTjC8NcIzblO+pOMJFI6bYaY1HZe6KuOKOGHBB9rVhfKF9We5UTCCwUU0w7EsO
gE/F3IJ0gErCpZlSv52AF4xzv4tj404PczLn82o4dtCP/JnemLtmBHyD2plvGvp1dwAVrhPAg4EY
wQ4NUdZv+pCSLKYoDRpJ00NPqUIj0/RTb4qgi0XXDBQ+xxAmD3HXyftQW+Zt2thETqsvel4UmxE8
VyBS23vuGMTRm2+0K2fqx1NBKe6XAzSHXBqR31NMQmqCYuPAw2GJ6sdAy4s0MNNyOgvyj/eqnYpg
Fm74SVTxzJuZwl2MbiyI1QomamQ9cHMNo7NhG1K7JHKZnqRjkmyI6NX3Tbt2VJYS7IugqdZQi35J
aX7f9ejjXb+Ysfn4Uk+rm4XBIMtUq9XnmVHDMS6m7KAZiTw4JY+LLeYSoqdXw9kExjDqwHOcuCbY
LcYiKtPitRnM6CUNtf6bDYTrxRia8ZS77nBUg9fRBKug6EhB9FanSKAixevYazxfwHgqv0fPFJG/
nTqtxuDFc5YaYT6931xG5EyLlTQ6yGJnSD0+AgKutiaAwSCde9rgRp/sNTSRV8lEZ4J8hLU04V9X
4iZB5nRYTl4l1QYq37wXNl6hukXBCWh1fhu6Ziwv5PBkG7SkA873mWZuScfsXSCQROwc2sIwVZd9
RU8aMC6fuDk5dqdvR+SlGz2W83npZPtx8UbzBhiAvDAAgrujQiy5vmT0+l1LkUZ7xNcje0ib19iZ
oh0NHuc5TrriqrAc7VFIzhdZWcU3ChNAEOJ9Zr8YpW8zAuHdgUOlHYb8CZa/re6zyKxf0tRQGwXn
Y5MIzoXCog2fKZCBo1mrHWyY/rnsmBnUidV+e4+OzVKTtafhQ9YVxy87K8PT4pm8r9moLkYMjcxp
G3aukQI0ANVBOkG54lGwDG8XiKE3nszHjdUb+rbGa71FLEbfGWZe6ytz4TW6l7UfIyyMAFAN3onq
PbkfBrxhobC1yO8MdJBBp1Jra3gMJzQWhoBs3WRfdfpyIOGN+HoH2DBnFSuoQtvzOUc2p8HmftWM
eH7jDDw8J0PDuk788inFUkfqAaK1vQY8dB8Wwjp3TSnuZ35AvBEZO+8SOsQBwgS2Po+gwyI/tOPu
XjoV/4Q39b6Rer1BiKK9III9twpAqzPU5b6FGTsCDpPG2ZrkvqtZFDRmZOiCa3NXxfV0zJW+6pbS
eFeSB74ti/5RC4UejB2iP0uN1tZhLNSEhTf4Ko6GfVMNc7zn63fUawNzPb5q2rweuJutzu+mop+J
QwGY3Bh6E155YW5VrKyMGv3C1c34Mo06UcD/H7P6/4ttHp0REAeZPy9Y18yz0/em/T7/WrP+8bKf
NavxgZG77aCNROrEiJ2j6M+8BeuDxX9BpIkEzSD37J8lK5GfNvWVC9Rntd6s2pCf43r3A+pb5GD8
DmllSA3/TsmKofy38z0lEJwB9z0QFPPN78I+vQYoafRWc/AGkRDu3RjkzURlo85xOFjnCXzC8BBZ
YAZLSZLmcaByvIsrMeR7BQ2O5HX2YHC2K8ETBKzhhwCofb2aYFZHzFTvkOTJvaOAKUReDUp5EuMl
UlpsbLSZQM9JL6wXuxi+ZNoM9inLH5HfWw9gmEi9brzHcs3zzjB0mn5pZywl2LuZcMOive5BGSPK
RvR439rAELuqky8ez6ftE3Cs3xcFmdptQ7ZwmbtJYFe8cFyporSopkvOjrDRBODJcEHql7fCe2sh
UEm/KkEI+0O+NEdG+Cv0dSL02xi0bruM2N8XE9/h+xelFua7q0aN658QsNjy6hFrzdFSzeLucWLi
50rz/rhgfAgco+eFrTW20KEJiEl9O/dy7+OQLnUUFJkr4Sx1rLwV0FM8Usshl9NK3WkJ/hU4HBfN
RdBYQH/ftUlH2jEIyJ5sHK+xVjcFtLIRqCOyX7fPN3oViU99b1gPLkPG3Ld7Q7vCc8SSu+aCPs+K
hjqHml57aXKX6kJNkr8ty+Ppxq0y8bYg2gomA4iHiqf4m8ja6VKBD9i/v792fVfc2TABUn4lmLvj
YhTM3gJKoQIQagMGlyoVhqxbgdct+ZLfGbzFska/Ox1x1JELQQ7cWse+dmXrYRwfwowk+QNRP42x
iy1HJSRlr6eZNFyEX4gS4KtZHofG5PgITqvfdcQxv1SCTImdVs3wvrlVyMTocu4FKIinlOkaDNFV
xMGoMdmu2pmHkgHicwNO5CGumnkdtbdXLnMihumDu4tZXe0N6TcGp7I+OtNDjz8i3TfgDiMSFBUX
27VTMHKqs5JgKPmQ6QKu11p0xG6W9EzSJ2tGDLbX2T42vuXTUozz3jUhz2aZbryNNrREGIt5XrJz
LVO8iXTAdDsvlV0M27Xk74KyVXEUsDlRBaYxcIX9oSGKfttFqr0Pc4+Q+WVUgVGqBI6ZRC5h58kU
DEzb9lgJtV2TxcZz1rs4LV2ixn1lx162mdD3uej2ZfvQleaLBc7viv7NR1DNcxrMQw0uL+0XsWwH
lV3nESj2oEXyvEvcJQwwmFVBD7jrFIVU8Uw9QcktS1betvaS37XCsDFUz/mtlZjaqY8oOTRmYNuc
btJh4XC0RZ62nHA9K8Cf+mgEY2YZTxNtPYjUM8z/sGFXHqcRzjmlVlDoRcJNNTKjWltc23UERj5i
mC5BP7Zijyymve5JULuZXEZWpENZt50V6dshHgCaS4eBiB/lWZiCkfZIpfdqqGXjJJ2XYRHJdahp
0evcpCkCr/LYzFz6pfLUBuo1dUuqlTgC5tSgDJK85gv1FA+9SJupOERlXj/UHsXPdhy0GO3EYCS+
UGBoOE1LEqLqmONAhTmJs96zsBn36DVJllskQGDVybwlRL6YF63yIXibnBiLdmv0haXxKFujxul3
lJvBtufziFDvLp6W9qPH5zdQyyzA9CGTrOzDJWpOjIOoVGabuCw1uooOZIGZEdlQ3yNRcEotQJnQ
BE2mx4+2E0kS5jJMVXqTp+ehS9UcDA1zaQmtPvENTLpB4w3TPpZREYCT+FIS98h0ataPZUjscTn3
4lGpjMW/J+Nh541TavAjwNsFC/L/28ZV6uQUxNyXI4u5bhO/ha2LlPX3laVWXfjmTbk6ZeUKjNZg
FP94iirOlg8T7ZLnBhg/YEfJsjroJUBpZ2aHaUq72E8RyzMxXLrJ4zDq95q1/iDO39Om0FveSQbe
/XqUI/DbeE2xvbDbz5e2AQC+KemNblu6K9cNkds/pPJ/S9r4f/G4RHQTzcE/Py3BJSy+v3bJa9/9
elz68bKfpyXtAyQMDjUYvgC1sUH+87Rk0KtfQWQEpK8WpDW98udgjGka/Ukd/+dPCePP45IpPyBs
tIGIWVRK6CW1v3Nc+gFk+JdG1zp/0EFoQBi0pPxdJG+RkQYPMCEcrYg0HteEafNSsF133ctsq6+u
RPRXrbdX0U9eoFKWsmmaSYvQVBXIzn10aRSfBDFA18QrXA1sCb4jbMRaDduLFEgSUrb/uScdBD/p
sjONXG7QEIBAd2tvV3l4HzybRgii+jtE43JDWjkYYNNVW612Jj/S+JmMktmTtIKfiepik6r2Zcg8
ZBFJSXlX6oFtpV9tovA2Wc4fV5TbAQx+HqmhedFwDgaLNRj++66Wh86zGOU9rb2vQ8OPt63qBXDx
G4NlKNrQEdny9TstpnzWCz6PXQHM4uD4Ymup53cNSQij4OMVUaujVCtY0YQDZ9YlqqPrtmHLVzN4
4TbqcsNfUvWmKzH5ts1XWbpNi3GYvzQb+ApMFT3xEfgaJFmOCetGSITC6vFgG65MFFCh3gJr0ctD
auJfAA2drWl+/K4imsXlELW+MjUp2xOvB5eqr/Iy5PR+lXHytTpQ55Ay7jwqx23Wrlt+tFhny2SO
U4xUtn3NGzIqWrRyiZ5U67FfOatoCr4nhsjyUBuNTg+D8n+EaUvQYxa9hpnAvsFp1pMo7Mh5rIIW
4CfJ8EQqmB1zhFIOiDlTr30MSQO4omcXBpUADVwtdAZGQPW+0fJDR8s5upp4fL9JknpGfWfCMqsc
7gNtNu7ygZNuI73HkXFUoCt+yaV1NyS8qShV5hH9HPNcDkWQoPPp5Hg0K4ZqvYs6/iyy+EtCsMum
LmlUQ3tNCZmxJ74mbqw+I4mFdvSF+/mNKE40OdjPfGjCXxnNce0X/i0NLbKQNEGnq3PbwBlKXpPz
LbUaUkHdqRaidzhEN23z8n6982iF0yEWC7qRzxvF3DKORw1R1syDAQxnJ6lFbzzk3NVMe3035u50
HW6Vcn0WIlyvT1nMv9pu+hUXKdd/okGC2ia59HxdxNw/zgtXfqx5ThwOEqfRzZfrmO2QdkL74ij+
QtvhCrs9N9OK9n//Mgp6vCgT+aOVyr/mJQ2eUDr1KdNba2uG3LSZoi6akVje5y1tT70aocE1nAaN
rsI8k+v6lv1Ggpoz+UollcgYxe3ZbQUmKrhfV5yuk+C9WaIcHkpaK1fJmHKO7ilOjILfnIgUvXZ1
HlSyluTGHdC3oNTJtpLnRGZDcjfE1uX98aImokmi9etMK3M32BqRkPRoZGXO5TZjT52iGFM053yY
39r6GCoYGO/XVnDY9UVYEA4drksItwAoFy8wRr6b97uclsSyK6vG2yOmU9sZj9nONuJsMxLtGbzf
AOsdziN+l6zeGVDtXuANPN/mspYy62XueohzXcNthOKaNA6GHF+qxBIHK+aj0oVCPNVr4hCSlBqk
VvIVOROXQFNvqEIN2nk8PVLwNOcG5Q+UasKnKDOu6KJMF2vCWDKmXwXNf3rSY3EVKl2BYeeJ6Bcp
DpHFc1oulnY1O7EHnpmbjOK3uBItB/p3UpCT5sjzWRw0mMTJZO7xYrTojCb+Mo3Wm9kaduB00tjA
J6dZqFMEjXbrbt7POVOSy4Nc4bYE3LIoRlSM4cilE47y9mGv38V0xveLxsSm6lhMKuByAem8VAID
b2HsCb/gESnJxWEFy+Hp/FibdI9B5ftDOyQYckREuoTWxbdWwy3RWOadPqfz3iZtwweOvm47lAxz
PVW7FhVVoMpMbuJaFleTbU6X3lFvyDT4amaegPfvmmE73cKcv7LXuK5mYZNCO5F6IlyLJXCVHTqZ
CG85pcGIL5l1uGH9Vjv8Z6K6tjz0lR8lrCcm+PGd1jSvrhTWlhTfKChr5zkvzRIgUHwrxv7ilAxF
jZH8pTnB/Uw0LKzZjd1zYCZblLNeMQm73yzZ8llZWT74tPdMewtlohV4Vpr0q04PfIPc0bOCROqP
VqQymMBjlV7PUdufklFyCQ0ZRmAFIg0ae0o0BXk5SXcbR6YNahpJFgL1pp0GKh7Vye00E5yxRURa
0dusa3Gqwv6L6MryG6bCVzORJUWEMak3tzbEYrNKLEsbsPyPBK0wevByNUGWamBaB1VKiy5PzUFs
IrYizrZueO1xCBY7CElje1F67DrHwiOQ+tDhaRIvxNgNQQwzLrsKY8+gNGgyjUSqWdVMwQZbn7eR
TgbJfUE1d4od+y/mlOsY97dzDZGgrmHTWrIRN6+D/18GeJlHbrBZNv3BATa4b5b4LVFsLkbhPvYN
vRULkU9gJtzpvxwBb3/8hF8VBf82XnYME8nGSj5yoeDI39x4jPf02euq/qCN74sdRwgjUd+KUQD2
r9RfDLP/bey7/jQHkwxTPIAhvze7IA0LM1mK/pDN3CDrScBT2AMi5Og/Ptd/i4C/8jfZ2kpo+/Mq
4Pzv9qYfL/mjAsDEBEV2DZR133GQK2TgH9K493M+pJ6VjG2aFnyRnxUA983PBukqhZPuekuBaFnB
Vn/nxK+Zv92hYGXYVlaMDcgDLEP2b3doHXZulkaTfc71ymWGYTsaqQzaOI910LeiImnB0ZewH32F
GD28AEnWrKABY954dGXQ8jxgyZYiP7WtDcliy8SqMRFSkxNoB72xzvSdOluqi4oBBzi7vBlyc7x0
kpHK5M+6M5rsOwK++Y6BTW5fDZz4XlWEN8dMyPoi6dMJzNh2dhkJpLQGa7jv+jI/CHchrImZFFtA
7bHfI8D39HTZ61rTyquCnBE4rq1khIuQJ2kPWe329W2K8u0BaK73qc0WI+akVvfM2jlnV2e7aOIQ
Jbv3QpvHLPkRs71sJ/B6zGgccrQImiGgyCgT90bVhf2p5ry1EV45fk4GM71dyAvcMWtj3W7ipvPT
QZ86AlBidq6uZAKolpy5NTLfz3Zr1S96a+g0yMrEe2Ug/JpN88WVTUojTOXzkV/C66G3jRskhPKA
NkvbEsqydi1lzp8xvPoOlVQ8BnKe5aYboyHxzcrxGA/3ZcO+FqJKHGkdHAqx5Ox9ffs8xTk2omYe
iWRx5juv1ecTuKa68edEn8gPIMX+EGdp8o37wbpL1TAY24Hu5g35TO5+suzm0JaTdjWGXfEYL06y
X9y+vC0X0wmGKQLeBeVKvzatQf8oyqxd80p146Y0o37jVVkZ5ESt0mfXljM91XnYJD07mKYXZEjF
g04pFU47Y6TRi4VrgheGWPKzwE67c4md2qN7X45mrONwyzHrxpy7H7CShZde1OVVKdBS7k0kjjdT
TxyApu2mgV6qzXL7x/93hJoM8bWw9AoRA6abVexZ/yH9hKA6Fif882NWbpwf6lC9EfeuoDdNl2YE
hrRsqUg1+fq+TPx3Rf2LFRUz8v+6oG6+Z18INPz+a0/lx2t+9lTQP6LhRSloOjRW3hsn/5xAOcjI
oP//Q1D80zDqfeAwQL8F0hVNF6ZT/1xg3Q/mSmmDtWn9EQb+m0jyfxNNQmT+7ejBBMrGgIoeC1AY
ftbfFliVUmVqC5T32Z7jFyjbRbWxK4P277RgoiKMKO92VT3fZiUD1yCLKVOl4wU4kKodDtCCKp5U
upcw6XNi8wplB4knx+9TZ4u1XkrxC2GAzKLutnCFwNOefTZFw+GmT6pdEXntfjZktAUyxGrAl5gc
mKtaD2lHCUFuxnLJUotevttTiTukWJpByFToZBM6SJFFuSScLMZN0NQ+2tXmPNUUFnZuYAWcrHTP
k6rpxHXY1ZFsqfBYiqa7LyAenFh0P6dOLV6SLOdEz3rpm/XE1MTToy2ARMOv3Bb5xcSxK5/au8GN
vlmgTPwi5JMSe3TH6YmZgafizUwODHJTws1khEgI9+LoS68rN4WkGWVVCaGKdVft6oWfzjJyZxuT
9BOnu+5KSqtep2zT3Mdw6K+1kAyReCoe0F6TtcOxGiNYMfi6O66/5FfljIrHrV5CcAABUMDpREX6
mZbFcfUX+aspUs3qM/mTGGDL8mFKxUI4EwVnZTB1V27V73pJmZyA8uIWfJyMcBs6zO1UaK9vofZt
i7/aqydj7yyOJNlNiB3Z3OVD1HrZM71n81mbDKrMtZeCNMvYwSOdMFyyHccyf2uX6pa06uUQmuLU
mXP9BaVK81h5wIriJNSNYIUKjxTWt9loHUJ3QUVrdfUNOqTmhTDeR7tNyn05IXjQ2hkPB0me2wXC
6oHsQhfMvfvEni1qrIrjU2SGiN1zzMwUfW1+p3th/yoks9WAsBrjrtMz45Indazhtoon2j1xvWyz
uHgwhDZtjYZtdaOXxn2bdd6udcNiYxixHYQ8OX6aEBoTZ2SQDflUe3sCXLArRZWmUXKRaJfC4/U7
d7DLi65N/TnCStfvxkZYT445Jmczt+Vnkw++aeeO0jlJ9WRj8V2WO81tQiLZkCudx7m2umOJ344s
v7Sb34hXWQQJiWVJvKHnjNeZ3hixHxUU/9kaiOJTQmHKS7WH/y70/5E+Hj8/h88/Pzo/4bv9dZWn
lllf8Mcy/8M4Ild8+zvTatUM/Dw4a+YH1lUE6sA8qXqQuf/j4MyRGpUD0BFqpZ8naOeD5H8Yy+hx
O/Tgrb9zgn4Haf1SWrLtAPOUaGxtA9H1vyE1yhq3Wjm787VXMFNUAXX6PO9ye/Se89w0jmoi+peh
ZVSdW8tsv2nznOwntFm3c100h6Ye0WtW5XSb9r23zRNtuo+xsN4iS24lTcBswihMUNcoe0IW0Sua
4XgvnHkqOKB7A5STpzicUKUf+lxnYf5hNCHCWdx4uUkGUgkni44k8TGl+2ZUzpz0B7KzcYEfI6fX
WLJDZxLpCbsMWohq4Et+EEXprP0b9KJbtLbNcua7NI0bV4VTgEyRWRWzPZu5ox4RxWYuc3ff5GbO
yDJLLmGex/uasoHhJ6ndpDYxk1u60kCTqpWbbOnF1zHOk0eXLnbNQxand0RfXrqpqY+LlUS7uKQ9
4Wn45RAIMdlMVENfXjL3Il0Uwk3gTYujFycC3BPLiXzAg7SQxlEO9VkntBxaXcq89xJHahDHaSzH
eaOUiKgaQA8vtIMjBQcYG5qlO3s9AciChlKWXX3QJIFNDBZzuHdqurczmTTX1dSWBVchx4iRD/8V
IP1HsBA4jhyG/nxBAB3QNclr9z/l2//gOevzr8mXXxeIH6//eQykLpYc/qidf0zWeOB/HgOdD6wB
VN1wcH+cBP+xPhjIjTzKRlpCeA2wGrDg/Fwm3A/4QAxYvYRHER/Bb/2dc+Dv1hJGHxaeONTyFPY2
K8a/dqBmIkY1EAeS/EtKoOgti8TNNIfH1CXAEBZgnshTiz+SrfVFU5x1jPYvelHruPJfmmDrW6AD
pjHi81Z/yPr7vzTBSujaleticyhRQV5C82X2qqt2UNsi30VKJ0GyQ7vpVVHhmxk5nkiT9tDwiu2o
fzKZ3ywxTXMRXUukKhiBdp2n/MrRLnUM35R6z6dluRFDtCo/XyGY8oeYcBQEsKrPKfOW9R9nxMRm
Mj+1S7lPctj1Yjtb3sHkyWNJUfYVY4SCoDbZ0ZAUTWsYG6l6kFEF1GASYbgnIBa5fo6G2NSNc9SP
DtiT5c7s2tV5x9zLFdds8TRIO6MlBOYK3+sdZ5F+OxVk8AnM0rb3SQOe30bIHVAJb9nkfVb2gOZa
kNceSZpoHcoM608eNL26n0T4mNZjs1Vtvh266jMnWLlPsv42ap0zY8ivC1lHaAwCWMfZ3l54G2gg
kWYWxWs+mVAkUxcNthxfifTZRHbfXhXtaDEQrYLKbvlhKIiUcRPl4N/+e9z4T44ba1oIz+Cfry7X
CfP6tuz+ZUn541V/rCnAiExSalBMscfTavsVRuR8gBdOOedC1wYS+6shz/sApRmziLmiN6kxec7+
WFNMbHzAla115cJttKol/86aov1uWCM2zKERSJGLlQgBtPbbqmKgS8yhr8pzgVk8rlHomlSFk1aE
5G9pU7VVptGVPmOmqtlNEIUJJmQ0Q15ixiAxx1biVyRNX7MS4XhD7ZsuH6clMyk/PNJVNmOrfY1c
PXrKp94Jksi2Pg6m2V0TUdndLlDPQpRvKfSAkuSka44ephkMNpOCvUhjkjK6tDgT/cW5ZbLuMkxV
X8VohvNZtjVlAgfA7mpIcd0+GSrsnauWCG2JC94e+9w3EW5+SxdiclC8TISIMjrxUuaOM668RbXz
xmikEQAF6T8BOB/pJvZDLq6VkViLXze5U2Fqp9KF75fbgaEXpYIxFyZPLMQcWmKg70GTpIN9xK7c
foOwWD/YZq8fW6eL9/qUfstqb94mTpIwz64TBvGDru+pLx5nZahbCB5heuCPGNf4fSAodZORMC4x
wCM37ALbThNfJrUqHSSuj2PTOoI5nGdsCXnyELK5BKgiXaotBjOivddkZl0PnjVtta53tGPveXV5
xskXPi+56zxUjhU+Nt2su8cm7AyxSdvKys602No6INM4fQGMEMON1p1Awf3lO6gGv+6n4mR7ZXbu
Kofvss+xIel2G8Ihmufx3PVd5DJzq2LU2vZyXxfAROQ+jPLmoDQaZx3NQl/vRgT841JsHJcakqDM
Ot25KFxZunMEiosxQzlpxfIIyCAzwRyMNBpMdIvZMyj4vniK4I07kk3ApM2INTlDr7jX+3SW7TGO
rAJsD4adRPsStUsTceUIxbbgECNdNQO9rszLYoUjFoAQu6VXaMdkWIi0DZmcxWYWKFWOaZCsAnez
rPMgRptIL6RrmeAvAtlaa+njNiMOFisIpudCOI9qsoDw68eob66tNbJ7GRffScqLWS8cri2Spacc
W4AqdkwM2ych4ruJEbwPYyHaRQu93XyYP2lyXHaOk4S7cJgfJMm7x5p06e1i1+lVnQt5rCxT7egm
wiWBAeirVmNnEgjvcnNKSHPPyt3olslZZPNylPUqNrAz/ckjS7zoXDOotcjx07gTgYkodFcWTted
LMNIj20yfm3KJjs1iRmdifhjsLjk5NThhygB3LUmzQhzYUiqRL1JclGgKBDwHyoNOR3Brt+tpX5x
Ji0l8rms6NXKxffMRrmBNF2cGz3NAeJmwQcnwJ3rdHnoEoHxqUww5+oWgskm1W559+k5tWbR+OHU
VUfOIP33KqvmjUuC8w5n13gg/32jHLo+RbR0B+QPx2K0Hmoju8cjf7Vo4d5rejRy+vKY2MQ2y9Y7
wc64Z3p9LBAbbGA2UYzw7UfkvbmD+dTW9d6dp+uUDFlQFv20a6qMuXu4gOkIzWfbAAdEfi9C6Dz7
npmyQcAz2ps0i/uHRIDnrTUtQMPKqLuzWAQT99qsUESn+TT5sA01+kG6eSd70mvyaW13eMPIvVVB
C+V62Hu9zdtAxF5/cJvslYZ6wtBceidy58mwawzydENCgGOvSw+9CweRp0K7i+L6biCfWbh8qKUs
LpNrpl+ydTVTfehwjknxLlWVbt4neg3fqerigAvW7Cogw/C94hcpWjpR+vQWd7l2iByMYC0QDJ82
ETB4EXqnHqrTlm6ed9ehxYUxZXtHlTr3od3cjUMndywT7rlMxegErbK7j6wr/UYHXTP4ldGll1Tv
B8QbipYbF2ony7q/WJEV3xvT5F03k7xfGtFh5SSfPdL1IPX6m3nKd8T3xqso2CHGqkW6XrC6xDHC
eZnucO0YvL3S/BKbyUUZMbtDjYtKaeSypd1jRntzp+dL+DCq8Zr+UxNMhKI/OSJ9siLgNvSJvrSL
92JH+lHvLZv7uK92Ob5tP9bHXTs2x9JO98yBQr7F2qRnFNV7BEavBYiXrdUs7UF2+iPUL8UNrCDg
5sD2zlY9AuvSjPueM3HWxs+2IpVez2j2Q2/2WWm3tvDoM40tYhArUOtaWgn31m2NfZuk0/3Epcv9
CuRRwDLqflaM5l8yetO4WRweNWHiKnSGa2cetlSWJ9wR3c4aav3c2JxW66FKatQKZRyoOXP3GfOL
Y1x2B6ispyEJ1b6jEg0iT1R+MogdmxnmoRAklTua68SHCNhXU3C91kmTe5nxyd7FOV7ZxWnq66xP
IBKNQ7mtUiv+WqGUCEa9v5oSJj/FmD1pJlOisLz2hoWNNfW8rd50D8PcXurEyV8H5MBAMl5SR2Xb
gc9jT6pUAc315DzMxlFrcm1nxiFJipFlLZfJgqjsW2FdbaBDaWcrsaLdLIwZOmFkfArLvroHg6AK
Dvl0xLeuYmUaUKvcRmJolV829Ac79rUqoTiaS2hR5HHQz+6r/kqPijBIdEBO3gpHCg3xFAu0SUQZ
RpsS2xSyjssoHf0Zs2dxI6NqIL5xznB9glhN+3s8BszGW7WcpsF4MidZfSXnQER0xnHO7SxnNBjU
Y3/FHGEifz+wz6Ij67zXXAy3WowcrzPH7r61ituxECKoFTHec9zfKGCqbWM0u36yyxOAo49uC0p6
Ar6oC/QyGh8Pd0QGbAiYw2HEJPIlXbRmO4K8PhLRqW9TlMB7O0Ol7CLwD3Jl8mHb4ZMXwVMvJOVN
NIzqmV7v6OM+cd9ssoA2vQU9By9t9qV0nfnBATnnq979ZCgLhZqbO88O7fmNCG0Z6E6cPhZRIf1p
lCuAF5GzYUzlZqLhM+64YAhYACHsYACxIHu8vYg+DHXSt6pRX2cpnHvPK4aPRjtspdfHl0wqa/P/
2Duz5saRtDv/IaMDOxK3BEiKiyiJWqqkG4SqVIV9SWwJ5K/3w44eu2fCHsdcfBd2OCbmqksSRULA
m+855zkrlDbsnZ1VRwKKEeS4rnexIfTVadAay+I0ucwITXpv2dUdWcgyMujy3LL3aq+ixkXP7Tab
nvCYiJuVXn4zoBjQ4r68zJiywLTkuIhCsnhnFuFfshQ/uTtXO9yEYTz1yfSaFxYarhPuu7BfY08Z
+RYEIg8IANvxaGO2yjzbbCIInfalAa4XUYEmz4U16E01DusZZTq8U621xCQ8f1YpLYPTUuXWY8de
7Jkb5MA6e3I43/mjyqq9i+dz59ZuycNrMBr04JAzqb96O0AS+ZupeofkNcdSVBR3dZ7rDJNpU3n+
DzfnNCz1mNLaRJjUsCoGhon33Ca5t9EEURiA52NAUIEMghk3jv2QcFABzaRAVSbHW9ShZvKIMpFz
5gb6bdUqO/UciHdlPafPocEgat0zaEV1M7/1oT74tvpqITISKqCHoR47gJQkeg9J09obvXghmjEJ
k949eoU7bsJ8ho/XtsVmcaePeXTHyNYdwM4ucWKPAOWmTyTPv7K9y9wGGlvSjWg6VnXnjJQXZn0x
HxtTbZPeuRRZ4bzmLm3OVeeLU57V7akYs5pyiPB51dmummV/hbLs7k3rBwo5A1ORtBTaJq9W2teb
StpxYrhO7Gcd/SleT/a3gELlr80Wg8Gdbrju6h4+KNwhK2oNzF+5O8eC+Ci3k5wMkfDnDeyxjdBl
9qFCWk4Z8Hem4C2uw+51aZt2S7lmtyEqf6L2do1p0apjjipIRKNBLCMNOp6JVXtoW/ca0k+191Pn
Z9VMr+B/vQfD109jzTnFRtne4W10o74bY9Cc2cbpvP4eROK8g8Bjv9GhPUC7qutXfGh1ZNsFj7qV
AvLCwrDgkKwvMsQwmIIkmMtav9ayW3YtMa4ob5P8q+yt2FoC/aRzrvKl8lkvgL70F5G8Ql09y2xy
Lz26SDTJ5jfDLy7obMBlp9soM0qbj3R+WLIhA4I+1a+9W+Rx5U7pTrpNuHVpjmDoFh7B8aK6J3Z8
a8Mo6x1qp7z4IvlhDj2dHnTy7jNVLk9yDYxdOPhWxHaWqcfqwgdyIxd4Y9PFNll5tZIeXfIJm8w1
14tdhEc0dRNkZUusYp5nXLGBOgsn+Go5b1SW8W4L/Zl2PojVgQQPKhdvRglhUh9YiM9bbRj7Kvtt
CEmXnI/jw8Kkegca5pHS31OzZNweMwlUDSTfrus43s5IPHtnnInfk0BxiuIkLOqBRWEezVK8ekGG
DTnXn0sw/Uym9Efbllw/rfM0jfdBm7wSXx9x3zbph2HYND661WHMtY5SJzjrUHwXXRv3YdjuSx6O
GzsV4E8TdvJGY1pn1+2eCsV0ZgyFGY2THsiksY27lEmrGM+Mx4nWc4HNZtE8EoqEX5cngcSe2WW7
FejOoecK/lj77JdTKq6RRK0bslxDv1FudRP+vPq9agvqcPLcqql8s+maWFqHdfnQ9gF2/r55UqM9
3s0wLiPyxuW+yI20jzq7NzNIAhB1bGXdXLmzxyGnk69qEtVhJmp0YKouD2GQNXs3bAgArzo9oUn4
u57Y79qDsZJt+BCKqXhscsP67eXDdNJZ7h87R/R3dkVKADl53XnK7V/cBvqv6O1PzvDFfdm4HPBT
k6BVig44tOnZWQInmhBv7i2Ezi0sm2XvtAvk+pnT0hy4CKYoFjHMbQaAptnPjePGKULGppa4Ltkt
4xOaVlJ1Dj3uLnWdflc4WzurkgffAp8ZVOsPUU/hBh/JZ5BWvGMMtffNRNNHX6wHOpBo2lIAJWtY
me2QsRwsww+2rHksReDE8JJncLhewxjUa/zwfPshVKS/OWT5C+Mep/4dyHXYHYsdtctSIGyY1YG5
8QColeAn9s/dDZMGNKVa+ei9ZluRCSyoNuIwJa7wJ909R2E2Ls5SvM8lLJ4bGpV0hZvdtoycFi7r
EJ5oeMDxRwwztpPA21A5DDyM40dLOO0UrMMtTF+BSCndm9cJybscB/M0lnI8Dq3zW+rpnhbRHqtW
9t3W+cXi7r5ddFo/Fj0fY0sYsAhLXLpVBZZM4fcnJjLGpRTGSeF8Aippb8q2vk/94K0VmA6Yr2W0
gJDYDMuyayxzT/n4HOP54SxDu9JuAogSGWIiY5ePv3TbPfnteL/egqP9msQ6dXChS85ZttMAowZs
q0Zk5KRiXeMMkZkt3JVBBd7RakCfc9l5N6n3qPhLjaZbpYM5jdwjPaun83T+MQfFjzzwKBSUj8vY
Lod8WO2YI+SJW/QbSZNm507LlqMWV7K1BtE4D2rDXwPsVWuy92JRrFE0D113dA59Z8HnNg6imLZ6
9tn8SoucjEFa5pt0DdYmSimxsyvrhXvn1V7Tld8Ih3zpK05eQkUpcnM8GiaWXygQbARiK8nVMUOw
3Hhu84O0XvhUpJDbmGb3Usks9hdHv2IdfKTldQR8Y9mxM5jY5rxg4/Z9QbVC6xmxXwXrhgNO8VIn
2S9hycug7VMp/E98MLuu+hytej+N4nc/ryz9Rb5uoXsW0VCHsSyayCrY42s5/+6gdsK5LT8yaWRb
6docMjsjKm0CqxUhuE2gwb/GTcMuILM0Y0uRUCZSPPYZN+homHp/iTr02od6mu2jwUzfbSBhYvKa
OZTPcu35RzzJO6xum9Ds5LYB+tHH2RhslPRPXW2detOL/IJN/LSU1bRji5PSjTxBxtRWIHlCr3I6
UznU793BrghX+G5/yCuZPAruarjvBqv3akZjmYnNDTk6vhiuXw+7mpzCuuuNUvWRY2Ws2nzOCCu3
D3uCWOmGlrTJQc+rl2B8ppJ1Nc8TVu0fQ7kE5YhjPhzYWGz+S/b1/xfhJC2bYst/t4nnd+nTf5b2
/vqaf+zhzT8E/qkQAB4LenbrbNT/0vaE94dP3hjEQID0jtDPf/qHx+tvkr/5x20fj82fKopbf/N/
snZHBfxXIe3mMuOb4USgS9Dz+UF/F9JCGy04Yaq/c0T6roiPb8ahbLd4z7/TRPHMSfKuMSf5XdTW
91UpazcF+FaX+TiugWBukfbBAXJ/GKpQbxpLeQeamas9qlwXB4YE4DyH/e81mf24zXjGtYLpxkir
7gOvmXk17NXea1wwsVMx/3ciz3eJ0TDLp8EVx5h4VJz0SjHWp0Zxjx1pasc/ICU7RxuyMc/fozn2
kZzrh3WwvU3HZL8pquW2odZPwBC8uA1YC1mrml7sPIQUuS7UC+YZOA7DelLa8fY8X7/5Lj5UW6F5
BXWV3Y9mbp0Kh9dkmk3+yFDWbz3Q549MdVs3r94m6LOTs0DJk75HAGT+bCc2j7MzQ3kDCfsjxzh2
KhVzixPqltCa9Pce/PBt7/bBXgE8iph1KNx0nK+xWBxu2XYS0znv3mJqn/a88kgZ5yPPqnqHI0nF
hYZOp8cm3YYBcHtSUddaDruxWne6NR6Stai2WEeXOwhparOQI76GnV19H2ev+4bDa1eH6gkTWH0t
OZOd80rwJ18IEMtRMlX3feekamuL2YxkI8vvk27zJ/ZaJNEGY4wcul3UpkvnnkWnQe2dSx7XLVcd
gM2DSgEsX5KI6PJL31bqexLaw1foQU9aaofdSAsWiTxKIM7ZHNbbQZFwk1MlngKlyk2DQpOyBJy9
u9ER3XuQF5ShFcFcvTUlbTZelYV7k0fQxW20yTqOh3q5S82uPwfSFnGXOxZvXmhP3L4nGDuD3TW4
9hIMFzCRmqM0NF41KRqCMHl1mzmtts5Jj4EYW/F17mwVFB+BPRt+vCRps6VLInkr7Kp9Fk5Sb5c6
b5/pR7Aujr+0J1cV4ZmmhOKj63AZbxC3sHrk3Md3dUE3ArkjTDHeTK5tLBGhp9Rdthi3+fwUYoQz
KjBNXj6vcS+F+4nzrHpb89X80U9QIQ1WzkWUYim4S3tC0BwlgRi2k4Erec1Zapum9ULJV3PkwJUj
bEOMjs0mXR/tlEvTm8g03nnDzC8veVpfKejgNXKYW66lP7WnAf0cGMHK50AJBt8QY2Amt7Bem+06
1yvcgbp7z/j72+c+CEByseSxkiUf/E1w61jqrCa/rGQ9v7Awz3trcrpf3tIvj8nUdg9/vrIiKTqx
mzHlsI+w7eAp1RktHl4Plw3CjnhyF65B1xjr34AsXPANzN5D4aqo9W+dqfntFx+der2ukze+BkvN
P4QMYB+8mZtILJx2ZWEzzPuCoe3jzysN8yc/TafhzDFqtb1TvqgQlmzYPqjutovI0mKKUAmqN7af
9jf2XXm7HWs3eAIb7h5aLEFXC4tN3PeYGu10ClxqePhQWfc0R/KFfGo2ObFdperxawyy/NKYrf9A
uGE9ycSyr4lZiKuSBnw6rkjY5aGXfIQ2hlMQ6BntpAkSljELfmJAmfWuSjPjuWVC2Wu/aJ9hn4f7
Fmvh9s9Pq1Z1+5yn6yDYaydU1tLgSLMaRguCca53tuTAKpbgJdOon/LtJ7WmUVAxTmqYAxgIxLvo
3ZXzb4vwV+jL0IA5kOvjZAzgW1IOkh480lxgf/LXKBT39jg9mCp9zGZAYdUIe6/of3sqPIUc5Dcj
Z/bGDq7L4Owcdnujr9/Yp/kxHixx9n2+YZd4mAsMwDJrGwmUyuvIc2za2E4LtDu3/KvbFa+DVVgX
Hw0yLi2Rxn7QOZEVsGTI6/WSLyHUhyIekvboNEHyaI3G8mAtNjod+ESSm8Jnr9iWREDD2d2upD43
QUctxjxjMh1FyYRp9NZXQ8Usa+lfspnbkyRdcSr0xObRrq2DY3s/e2u8a4gGuOwNo3KenAc2d0Da
Uvv7YIif69SiBDZDzUanQiBbmxnUqMMuZdDQ7Oyek3Pn++3zBBcowr+sv+rZY7GUNRsPzPiuGxdQ
c1OHIa3cO+yIIhbKfMC5j5lfgj0r1FqeS9969VfTZm0g8dit9cGEhHmnuAnHpoBYtjQlR4AQ3nyq
4cS37bs02T8uTWue19IMjj0X/r5YfTP26NM1rVpGxEQ3k7X+dtbu2uUi+JXbNxVTSfMj8A16Xsry
ZWTN8Anb39nyt06lr8OKAST5sEmGcDyChHZvzESW6Atd7HdpoSFGepgWI01SLkyeZT18ZeuYbM1G
rJcl61UHpXHOx6gZbVpJGt3fjhR2c24t/0LeoHzisqIVxE+sR4feCuw4U8NCZTKKu7KB80Z6hr2W
ZXe/WPOUW6Syw1q3WAa77hNpkXYOsDgMyvN3MyHyi6DBas+WHkS46afpmu8yc/bUUyavCsQMm+CS
zb0DeaV1PeMeJfs1WRsz8vkzxK3bpN9FwXO4GZx4tExxJnaebhkSxBfsmfkaoOG+lthtmSHYhqJA
+hzKxgS7y2wnYoGCVLwWAS0k7uDSesU55ddIHPAYotjfMvRJ3M7GvOOZrnao/EeV0lpPitC8ILe3
T47rLOQOJZOVY3gb1fXi0s2d+mjMtfpQtuVcfIpjIrrn103v5zoGSNNyJx9zLAxZ46GylPWtVH4p
0vO80KRyHOzEQkAaNKCCUE47kcqaHY1I30Z/MVgX9CIqHZulCTxBE65NSoNgWUznwGPDPWG3wAEh
bxt4Vyseg8vUXloQC0f31qCbSK+GAiCTN9As41WVOi+2epANieGwMS7o796BSaGE4tbKbb5USYRr
u711Bi6/MU/aD1adjq+qz9UdVQvymy8xdXDKoy1Kh1mkAkWU1e3oKgr0ocRDeqrn2TiaLTcwTony
rk28IeqwY0TslZId4q3gZVVyv7rVj2BgkzD0iXoogZHcw2vrCXK2/V7ahBEmBbSQmeF+aYudy84t
tVPaT4R+L/q+7eKimSsWRih12kJSyzO6d2rXHCMgW+5et/p+yTMyl63BY2DCye5Vw/yooRhtyrkd
eHLN4oG0WfUsi0Hdwbgx3ok/X4A7DL+QSxlA/HXchZ2f7qaKo5jhIBT0/Y3z2Gv+xB3H3szCvPIE
bR8aYJObDtV6M5jKewOWuV/oII4BRz2v9OVeltyGVSBEsV8b2I4qp3kGfaOd2/SXXFbWgzzy4N+h
ctFhjd1gWY75bA3RVAzJgYz9mSr0q8sqPqZcozis2l9OSSGQeOPCyGgUQnW+hiV3V+sUTKS5523R
ZZVF+KtWRfpEea3EJj8NKkVWVO4MQ8EwUh4JqTTxZIRmutZRoKp1OSzMv/rsMaqUUZHWpbddh2KO
8S+wVvGmcikqJKBpauOaNhZ7QydXtv7MSpIMxK4cutXveBp+W2r3yTDDeVc34RSxC1PPSaD11lr1
cEkLryVn4rn3o6e/S03xp+78ax62IKv1SJoiBDlb0dfyIIPO+wFldEWkb/QPiJnjvapZ/ObW/KtP
Vxy4nj3fCyJj2EQC90jfCJAfLxseQ1XZZ4Wmc00ZVbY2KLV4NYIP6vySjSRk/anGdI1yo3cxCNAu
URs59uLCNGmiACw7z5Cfkk5kPCqpkVrIBu4R6F9CY1xADbon7TBoV1XxFdjEOFxZU+Flsb1o3Z8Z
RIM4gWx9XFHBmy0rA4b+dO3HHyYq3ldQesVZKdBENmLdnQPv/wCr4tmcAThusC1oIy7nsTxocJgA
FbW7nt28pwWpqvU3ZPvqfsjqnxxA03rb2pSlsamCqkGJUBsj8/yUNz/0aMj6K5j92z0rGcfdBPZp
11tm/8744m9t21muY0KjDzPQ1ckL7wEzVorTgnDF0XRDGppWzV/a1Kg3f1LTSXZk+3U1CxIi61g9
lI0MPNhETvajkYPJWrTIl10NT7fkOXijlHA0RMtRVSi+WDxz45hTz7rmUyq+QTHp3rVTY2VkRQmu
KXFcg1t+EDbRZKrmhXUU0C5LC7qNxnY3cGPcCksf8hXqRKc4ZNGkVl5yDJnvFnWuYEkCYklekwHs
KAp6mGx++INMGUqKVmQcfPNwfHGAq6WUjEMthYO2YXoe9RotudIgaam7oqNTDvPvbKjprKRL+uaX
7+4Wo/lV3nrGhzUJOD4O57LHMdalvbj6tTk/0sOIvlyEOi5J+bCXQgf30pZgS+LkcRGK5MgLe+Xg
l8RBmLU7QMjiQN1n2v/X7HP+nysRsUjjEYX73/svD1+f2T9ViPz1FX/tfFDzbx0i/M8i2+f75Jz/
sfPBzI35Eiu1S97iz2THXxsfN7wlOzjIkbZHCvVvy6B/OC8tjN5Ui5CaBkrpYQX/j1ZAt0jJ373U
5u07mLysW/GMC6z+X4yXpZXIyQsS/+JlrnFI6U2TJyqRuAUawlpvkYTFrml2PS6Y1qtnnXde+MOy
g18ZhI5nNygdL7Jaih99a/lWBkZ+8pwAP1kFuD3ZdI0vWIjqgUZng5lvvBrVLWiRpUrJV7ORCbLG
nFdOfQJMOeyZ4IviEthZyJFJVmKXD1lzqJMVaY2SqKheLda0FOpiohDeLstxmm7x6zyVuAiwO5kq
OVeMi+dhssf96s/yaIe9+mJj8OHWI5NdOJjvlWqDvdnl3UdflyaiR+0f2MQj4dCtvFlExiEjsPvs
pNdsuTO71t3xQRkX3BYJgnow7zKC7X0CeM1mIxIF3WShf3ikwjjpAIZ5wCdkf5vX5exyOI6tfAEk
lGfmFTo2JyKEzBjj0jdcgiEAuoWMb0OCrrPDb8si/O1srlHizPWTWxjyzp16+wKAsD9gvGKCKWhh
qedWHTw/y+9Do/oMR8kRq8N94gE8OknUnX3VGjML3iA5rInn7MrGqn5ReYa+AIfzF/tzISMx9O1d
aOe/psnut6HKl++eJRSgpRxetuxEGsm6Eh+2PZVbLyhwQ4n2W53X31ij5/eN7DQWczW/JyMQEQa/
duuWeRB53a29L1ANxwqEoZtEmYe0/unF9TeJmXWH2xX5KufB3wnEgpunqirv2GTQ9U4DF51aMK7i
xuD5uzdnhz6nrrpxBv3SSq9uaZWPcMb1Q6IyM8q0K8+ZQ/HdJjcXj5/itKzIAnfvFhXUyxrP5DPs
l+rs1d16zhie7m/x+p2fJepR9bLfNcOw/MSeWDUby3QQmkuj+42rswAlogBn10Ghzoxo+d3iNcN5
JIXYUqCn0q/Mroyo6jrvLrNYzW3o7gpOSMZZu8nHwLyw6EOwwrEACb+5GTakP4ebVAzTGxIPLALp
rPYOD67kWQEcK7bTbN6BWMeYZdRIgHhSw9Nc0/8JNtWdmB9k298Yfudc8qJoyOyO1HcMrynPxRof
mJ39btndbYWgm4EuU//ce8aXrz1zQ6azQMPFJ7FxeoN6z5ssRr7S6XZBYYbfWEiVkCuDU5ew9Kxp
DWJB4Zk/ZiAsO5uz+89SJvqolxrfrD/jGryFFzcco9X3sHWdR6NMghhGQ7Kb0HwgQpZqPbXKwG4h
2DMfhV+qLq4TNJh1svVj4EGbgdPYRL6/3LRFxz4M9BReK9Pz9hQ/TG9e5rVPxE8zrGsJaZIgTHGX
dtivvDoU+HNCfiW/ZfrC4xYOZPIVQHO0ji2ktILxis7EXAn9Oi8S3pWSFrRSU8QZ4LBNP7rJfSaa
/tH3gZUnon/JS8O/giO/6xtHPygmBuTO4OhN/FmzWbZR25Ka4V757WNRg0q1lDXgi+7E+kxZZ3df
D7P9Ytuy+MhNS8YIaAl7mV4dxJpnyaGB3EXOVhKa5cjgUFp/z9zJEbpVT6kr+/OKZhVx8zQvw8TH
zZovi5oaB+RsyjBOSc8dtLS+2LX7l86VzcG2ZvtQD5O/yakAiZamgy/Lh7zv4bTGSd69GEG3JgAq
nPGZQ9b6qzY7sHEk7zBCM1BTQ8nyu6f9jTCrnUVWjl84mBa461hgN6atR1wu0/LaVKa7k12TRj4p
1ntzaQwWu9yIQlyxcULP1LvTmtkdjRlVZCw4nqG/rjd3t+e/8xDUd2QKjF/WjZi/qMyJVt+dfheJ
gU8ZWNx1oHwz6vB+MESZn6mu061EpiVwO897MQ8G+n4is3dbp+O5r6vrwFYU+xDETwcp+GTfouO6
4RSgFqEfTSsPH4asL+VmnBK9dVM8O7XLSZIJVcRDKeZ4CjL3V3rb7Khg+YlZZ8ZfHLDnS0oFUcP3
jHNmsAdpO0996xZcW67V6asvVMh6svXfJ5HxtwGFM8bpVB2svFzum2wyuGGliK6wVT/KagaGFsAH
shLkfW221qeqU5c9q37l+JBEtlrtO2/2uxqPBFBlXA9LTDEo6LywumrTOjA9kBnoyXZsS3PlA24g
UsdBPj+prky/kV+vo2IihrT6TfZINfqKH1Gm6s1MfdD5jgyOKbBA3F5lEt5x3zSiYTTP+Pidq9bT
45TmNGdUZnWaeMMij2vvpVjt+piwcOBPglLO0AI6ptPsQGfEtWR7zFm5b0knOUkaYR8TdzmNyLtU
jNV2cKY6MkVyLjg+7lt/mA631SgrISwHqqPDhz+obDfVbb5PR/B+NgfELY6f+px6PbdvlajPLDdJ
X8ymf9LzEPy06Oz90SPbXryhfxqc2nvWwn01VxdOU5hIDj5OcOhHQ+/FFExb6QXz61Bn09Hz65sP
ZTxkRYAtqCQvPt8a6SddBVB/jXQ45pzjEHZS9zqkTfuoJZgtwZNr3hTFk4Xw/W6oRgFyZ+25YbU7
f7Py3Lir9OxRp5EXRzv3dq1TYEaxTbYP7hv4bBdJuq62eYN9IYAY9RKKtNujV8uHTowWPYydszNl
8ksgEkRscKmPGDBtKTYPoEkqfc5cV50orE2/zyEum2CY27jTlYzJeejfnqxeYJngb8IO/VwmvITR
KtFqLCw3fuHcE2BptrQTfyQDxwbYXtlD0bVnCnXW+8Vfzmtiua+VBBEsC5pIgS3Me3gv4S5fyuSj
n9aF3EDef3BK4QgbkuptZ3s+BIo+GIj8HzfTJ3IEhlkCM5vydmqkXubTmDxUC1gNm0AU+gjrZhOU
aXVaxlPQ+qCISVrMF9ofUix/OKoyM6heC8NvnhmqAANLwaPeszgQ5aoUxQOVOxbezrS70JhAINnp
8DCY/b1y3CZuFs/YZ4Vb78zMTs9Bgemrt4vpLuXUyKZOFf4jC63lQLaCtauY+ngtCg/1TX0M5Pyi
NsAftOd4rx86VKCo9HrriArf7Dyhls9JJKLCbIcpICkHH7WebvRm46N/0DSll58NVMIPH0iCyZj7
WadhEvNCftdTLXcFewrAL43RH3CuiKguSvB2ugd9EciyLjYWXdtkcm30mBJ0Gm4CCRvYTb+Ssbdj
1C5c2rUPgIeKLOSbsnhg7o3G3KQW2vb1zgQ2vNUqsY6a+wB7TqbNTAjzDiux+VsE+N5GCJmQu5E1
KNlLt1ZOLIDRo98OVfnkBRo85GCurH6S4Sb92cXB5KP+uJXr3tFUkmwDrMrEENahRFKbBrIWxhBL
VbGDlkESfJeZeUNVTrh1cm0+BR0PpA1KRHGx1Gj9pMW1Ao2B78GcbcrEgP3tkkZXjfVMHdpUJHFC
fqj9CRVkRv2smyqsX4IlK0v3mHgiL0/jIsL2Ra0z71o7fi0GvX9hw6RMC4ZvaQKUlRXMUUN2KvbC
vAzilXah2BiT4lZasi6/Or/LvlTIK2RG8L7zNe2HkSoKo+25O7BIpGzemsUSm4PIj9Ms5D3GUg/L
hd++O/zlOeVK7GzBsoxxSdLLgnCNB6ejlLlbmq8+Ma37Nl8ExlQLF4ziMHcJJv9Fw8AkveT5X27V
DQkWdt2dEi9UW5QAXKI3mmPh1z3qUlc/mQrqBgVM6y2GpqY7zHA4ozICYkx9VPa4jDC2GmpqnHOq
kvrK3QaVZ5/MZgBSYvaMAJ5JfWKVLbHnU1oFsZafZ5Zd+7rks/sNYijUzyHvWFAPlkHBu1mVEamI
4qocAeypGtd3DNwPaSF4W80qXJ4R0dJ4LtI8uXn9THxNKRGJEaRr79wcqQPJgAl8XycexJ+GLCat
6VAMFjPy0FH6uNRF8ZKKanwfGT05Mw3zhcK19Ln29EAJG282mJRiT6CV05dHM/zFSAiAUZW0zFt/
6swD3dDyOUlqc4QQzz+dENYO5dA3V2zH/SaVlnyDU2V9tzohvzdt+pbUgXl2AX3mSDgwJZ0bJGnT
YM0hW2eeQEt1z9RQDU2cJF0T3E9L5j41mfwMdI+402kAUBsjA74NLonHfq5TF1BLlfgPZbVW3wo8
oa+iUMleEFBO4QBbNgbSeXxlgaO+ZsMCL2iTZBrqtIt5Rc2u6FkexYRvMOP52GpZCOEGpqjt5gfO
PPVDM/Ux8RuAxvp2WR9lIADGNGGVX/uUEJgpNUriXAAOHeA4bW3cUweU9PyQaV2cPSqbD7UDGbby
ODkEi8/FZBo/KtFq6rbY9BKqoWAK9Bc3DdMrV2q/CWVy5Svsq0WgKfJpURmmLtmP9lxdm9uc5Giu
q14jtViEJY8JdV+ADmzUXDardw1tQVHBsQzpr7kNspbXnz2H4TpvTO92B8OvsEoVZFx2RS2/t6MS
9YNVFoMD19LnMCYBEkOkwpeIxTXD/6qwjfn6y0CrUY9WiDrkZ0hxeTMb67exWbrlRSsD4XdjjBx4
x8fJHBwoD9NE7VkHfbRf1Im3pBdi16aEuiNnsFp0mv8GRmLIXOTEi06XfWIE8gXn4vL2t/XP/4KV
+Gf+/J9IGiTk6Tv3WA1DZPI8svh/t9V0clFF5Vj0ZxiDB1WNoiXLxhe81AeDlHySfti1s58L+0io
YWe4/c7LrK0IiKpPekvUd8uvug91gS3xP2wkpBKS10YRIflZeglDG0PT319bbc2yMRNbXbquvwQd
syIJ2/ny79+Bm2/oX98AHEUumV4Xh8C/vgFwaRYOvbO65DbsIv7vG9WuCdrdnz/m/6PG/g+oMcsV
OL/+3Uqy+co/m38KhP/1Nf8worl/BCGw9cBljwiM/X8yJoT4A7khDCE7QJrgSuE//WMraf0ReMAn
zCDwuHzwr/2PraQT/EHm1bx9GQiKP6Pi/0EenAvlny8gsJFgLPhudMeyWbP/bGv8G+Fhsocs19li
HBJHL7Ejq+rTKxLEyQmOLEUByMrzZh1Wje3SmFVUpkCa/ayv77WfYMG2oFQAgc7nr4DV3IPGd4Hf
uYDClIYl4Sm+qo7/O3tnshw3sm3ZXymrOdLgaNyBQU2iJSOCXbCRyAmMoiT0fev4+rdA5X2lpLKU
ljV+ds3ySpZJIgKN4/g5e689kRHOJGkuXnI3sC8RyVk3TCblgjts7Ct6ht4MojenrAVmJVHDePeq
SbNzM/XDjTm85mVDyFwbERnIYPuZeI8BX/SQFfM+NavplX5gPiHgNvTMsC9E4DX5rKkru1MhDm5Z
p19wMPCitZscpbcmK4qxiybFnGYFc/jM768WwZoNhSuYqTcby3O2Gb4oe90QpAFzykvsfU2sKa25
KIhOdqIGb2trFaPLKjJQECmmlreqrarnsiPEr281vnQ7a4/w1MY39jjFs9PFboaJO9RHCu76TldJ
+GpFFnrmBKpjzhx56GFBy94ymWh4IwbmqbxllS8Ronlg1FY6HxVOvzi99ux8uiP3AiK6JkK9LS+V
Gnu6icAvhqJvVmhT96MVq1vkK74FHiR/m+AKI3nOvVvStqnHYMvd25pRMOD4duuM2r4I5koQyEhk
x8HtQrVJIIUfUTID/ZlbUR+GGaMNEX+uH1IE1erkQVUs1o2hsyc7r/r73iEQMOkFxug+HcTnWKXB
585gY1CNLnLdwjdO48w0siuY15XIE9bjFMynORT9pyzVVb12/byBFtnUR0rs4btPWy+hLu6MdNNm
7K0Gp8i2Fe2sBBCKzyaB/v9wlRlTs1A5+vS1fh/XtROKBSDMvNKsZGxfkiQjTXEM6rpapbUdQr/D
FX7Behufoyq1P1lhHt/5s8vRbFM194Kh6a6vI+corGQwkbyV0QUeKWZsmjm21Q016YliOIdRnq1l
nkzPRkHwiG3m/jdaUarZSZMGBIE2oxeDW6/9s59ImH1IIUvjcxLa8hZba0E30EOPufLbOX1ziFvy
F2R/uiWTJN/4LlvYOhfFA9cxRXHRRrdqStqrVujooFDH+FtRjvRmg8KhD6bDfMPtWj54do2Poekg
pxuowU+iDJ2renD6cstrvrpOeFHEBMvkPOWfp0IkDvL4EBIMp2eiREJPgxGG/ysLEXbdiixfnUia
Qf5kZqfCpC/VrSxEi8AaRlqswTCbwRnLqK0PkRsBOhjlrfAS8gEdNaNsxHihnca/nzKenm1L3MNz
ELBpFVkwZBvVMzPAJmuV9OFa977vXeaiOhYd1kldI8RAWI/Zejp1NOT3Tp24RGq2i5FfU/sEYGk8
kmLWDc/LOWjp8mJ7HbLHKRjt/CT7zkxuVYykyN8QVtqb987cohLM0H8XLq7f2rgY++bJyaLxziDS
OaWEtMdLuxkOQ1jIq5IX+T4HBrrJpmzeV32u7+rSsy77JKtXpeeGtB7b7A4HH43VMZnWTpqgsyUI
fgvlP9+AGloBCo2p76Jrgg5WPXzxldnFEC0OFND8Jtuo970K6q0fW8+SYnXlJsYhSaxVX2MSExC/
+TXkvE9I0p4iZmGXAbOFteC07IgjaW9i03n2+yrcILmljTAOxhVu0YBdOqu17gk1El3FLgJZRKq/
Nu0ALoJzGHTmMYmtTq+Fn5o7s40eJxt9VZaUT7hD1WXuVW+oVLItcoizqUH5BigUQ7u5kWOS3HZ1
8ZnCl22TPkLMNne5Wd4PsQ2jYVLdejSBPZgj5iicrAMJpVPlXZAgmNKaJP+1H9oatWkkr2p6q4fG
bo9Y+bD/+h7WK3tgCtUC/l45ljKZvqbRoQmVE/P1CJJic9Fe+dPo7CTSAYvb6Ci52iczbIjrNPri
bE6kExpuYewdVEEkapfztYZ+EXD/CMx9sVvd1Vr7Z0pwNgK06LI7AjfGG+k3X1UZmYc0DsVxzv16
a7SU1dhRJrEssygQVx6334NiKL2B+lLi/XNJf4zbHGpPqK+zCcWJHkTzOJOdiH2VLprlx3cuYHQe
iZTm5zC013mD/4ZWa34/ZEFw51oB1KMlOM4tTdzVXCY/MMdNatnRazYFrxF4kTurUuOtNfnTMYZ7
dJaxX9z3Y5mvO1seWkZDzP65dRLD/OS2+MJcg39EyRSQl8IntVL1Nk5DC6vWV+u5n/TO1rO/ww+a
fQf3UVzP47bt5/40dg7wzqZvnWvWGOOUdLFiTxvl9RnJcLapVZEebYUvzw2sau9PbfTmZBnPFs13
Mi/S/sxNmF37eJluE3fZIBVSbXG942ER5q1C2IXbNmku89m2bzPP9jdGr7E0jeLFHRpJf9pI73P8
RIDXlfWpY4uOdZ84D+6MiNws6gIJykYVO6DE2CHBWu1F1TDCGKR/cNtRo0CMp0vZ8YoErycvDXDy
4gcw63/q5H+okyEB+uy9/t+je8QKURy+Fj/D2P78of8UytYfjrBQ1GPQ85V8xyP96djwzT8cxry+
6yAvNtmS/hR05P1B+Woy1fftd6wSn+L/zu8XwwXFtbOEIy1T/39RKS85lz/vtOD6QiChgKcaN0kt
tz9sNeuJOOQ6a8WxqJyhqxHCkCx30aA93wdkiEh4ChEaShrxwhgf46lwLqdKE6a3otPsvjJBKCyx
0QAJB+RHFAEaioIDsPoYWjVCNz8okObXRdu0+5/O9N/skpdP9tMekUqVD0xzRCFndV1GJPz7n0p8
RqBjFjRzcySvHt11VBgoHdHV62GZmxqaIczvD2gve6QPh8R8I5BGE0IluZof9r4GOoPK6MuQhdg/
lR0sDtLHhJD7xHHQrFF9MW4XjVk9+yPpcdO6d/BnXlC7DcHODSNRQpjEpbyaBxraK4iQPZB2BES3
XhEre8mNnW4jhCAPmYV0aO9gRz/SCQvADsTEKa5ESmYe/cA6n9e8tVCAh1irk6Mhh+mcLSGVtA/d
VzgSJRG/WBLxFhDvCfMYxWhOqBAi89UoDRThWFKASuQdk5pdwA7jSsvYemiEzU0w2gSGNwSIo4o0
fEb+XSWuG4/9CdjbmKpkjP2RVvDyyU364s2mjkLrQQgDAX2sCPNDRZnUzwacv9tQQh9ABBJ7EANg
jT9bQBvmtUQfFuG7zvlEhC3a6AdFND02tUvG+6o2LPFgJZFoj1bpKOsariXyOqm0rD5blEPRoWta
7r8Qdv3asBa9LS1364GoR2v6hPV+Ml5sq+PMxe3E59EYHQn9q7w8Xw/swWYwWgaHznDchaC/Uj4d
xXDBVGqGvLcyiG2KbgP0jhTzTZFHG2e0+f4JfpLXZAyDp17jThn6hh/3R6gfmzqWd5Hs+dVAvThJ
sXa4CtLpuvZzhJahunBmM8+3nEcbH0Fsc1piI8OaMwEkRpU5k1a5HizXEkfUrFl0mJdLopaTg142
5fpVdnn0a8idGzqtpAHMwzBeoYWZ7wwPG+gqmXh47dAR3qam5CD7rtE8hJkv+JSNxMqEpNjKsJOq
cJO5NZYja5z0A0nW3bXh+hPO3iQghGt2+/I1TGABEcotn4wBuiEJe9ktr3b2dqMTXyBjdTzgI4V6
LcJ0+FTZZjLtyNMpj9FoTrcDzUxvHSUjZ5xQxlQfrEmC9HJL5T/hhWq7OyueMcy4g+K2QTfA6R1j
phU3ZjchOWndkC0o8u7aFhilHKRyWI25I623MZ+4drFdOeN3EnH66pk/5sn3ConrmXAe8UCEdAbU
IuQeaa0Cv2ZU+uKBySeXJ4MARXRsMHJt03HOcnjPJfvbweLhYgDEQ0nHm+5+i+O8/YwLbDoD1eRB
MGbFCY6typL7NDPLo4tan7JzavHaDAmmoiSwpluYePVFH83od2wwKiFw7J6jQIqhOhY8bf4W8w/n
BVl4znifkeWxiFKreUhnzPxPRq/m+tTxwm9u9cQwc5dpm+V3zkftw44w8/QcDElzMeUG2NhgIGR7
HhwWiFnnnMum6ziXkznGdDN97M54T/ENBRkIiJ3DqhIdqlrBxn6/kVOs4gAVDFzPG0njmbzVhvQU
Ruw2a2jhlNZD3C/9aLI4Ivl5ynAq3yQBoqG1F2JqelP2KK4jUrlCuJM5xzTSMJkuVBA2yUsjmjEE
JNGH3Vc78Lr0U8MKIaI1m2O3uSmZP0KxnEJITQwjQqMhG0jwm1CdJQfKZ655lzXiOukQtn7y+qBO
v7mqQCGxYveEYhKVI7rwnPfPTO5Fn7xTPKCXW2gLpGleRhblL+NAJlUrIw7Nl5hsTZzWoQf4xPQ/
u0MfrMtZ3KshnMY1Hvf+UZfa2KZdG224MZBZ9Iyt7YzJnB0EMfDbeBjZ/CJv20Qqdy8onuV4Kh2E
CfGnMHJ6UCiVKwHWA8NAFZpV5WVVeeZTizJ+Tc7fi4FojU4BzfRUs9uMIxQHFyK1wi8ZPoBvU8jI
txBNcdNl8tQjMtLbNGsmjOEqfHHtAQoXL6lNiffg7BF39iKcKN9ZBcjeNdRfl+2Xam79ELm0qmgK
kNlGxGtchdmjlbSKoWvb7XBOQmMZpok06JAQ2HzEfZXN+cl1hn67lMt3LOvVC/q46H5wsttRmVOy
R4eKjEMzSzLJhd8PcRlDa5fZIxSQNtxBMSpOBIWITZbW8yEz/HTn2Q4xHTXKYsT6imVvsMsHXjrV
5wJRVYQ3sS12IHbKT5Eki1Xw6vFXnnTZ9gJyI45YTiRkxQObj0C13+NGNYwZHOfCmoEXo6i2AHK1
ytlEpgs0ddKUA5uWFsKxbvMSJVCtwYgg5b9U0WTtEPvegVSp9ia4403Dd/ycpE018paCgVgw1h7I
PVP9dY3A596vUCoZtDB2ruHLtQHk3ttpRg/XRtTVRxZsfWEWhb4EBuBfzl06Ik5vmnVnOf267nVy
QdirfBjA9H01geId6YDOx6Zo4Nb8vkJB1fmhPvFsGvRAMCFw27+URJqeDBnRHbM8WfAOU8Zi3OO2
ZZ0rUGHCppX8FOaegT+bRsJD+vsP8Es16Shl8z/BakieziI7/bkmq8vc9pKsCnAWVkATiyBbm6PN
WxBpAMAKEx9VwDLzD0ddyq6/VoI0lDE0W2hjLeX4S9n2UyVIQG6kotH1D/BoqufYiVmZqs6iyPn9
t/swlaDiVEoqjuJTbv7wcv98nCEq4dX6YXBw0qXEYW/MS4Nx0rM7BaxY//5gdMTBrlChwy7/cCoF
i4gRUoUekLHR8Cgx0raRRBcVI6P4/aF+raRxduNjZDNgLoD4D5V0HfqqMiZTHhBKiusCTMwey162
br0Ot6eCDPevjyfYCEGjZz7gYPn66/USyN/LIstdlIBR8PTjHVhExCCtUUdSDgFY5PT+/pi/3iMe
9vQlCkwpy2KE9ddjloVTm1OWykPfx83FOBr25SQAzv9/HAU/oo9a2aVp8+GiZczFyHJs5SEkJeRC
x5gBlAfE598fhQ0lym4GcNz3H44iO9uqISLJg18TGCJj3IcWjad/f5XcJU2Gub3DoOfjVUqJRY+r
uHQPVkA2BrIergmucjVtddCJa5BZw/wPW7pflw/W9OUhoxlr86cPXwwfSKDHTDoHAzbXZ9GTHDib
A6UI5j1/i0uQYbNsZxav35/QXx9sZk5wgwXfluHTx6/qW2NszpVrHdKehyvAAnXsMGNt5kR6p98f
6m++IjcHiAZq8IXDYP31PlTQrjhUbh2mJsrXOhflcW6hDdH/Z8FcdnDTctf8/qB/9/1+ZKmBRSDe
7MNBBxMJGTJHccgkLtdiCWPITI9kAnPZ/Pz+WOLX1cSnO+Eu01uwQ78+aZHXeCaP82FuWuJZE5G7
DOSVmZ3xDzXXJczRYhVoymT0f+wqqLVaTMXDFGCqax02F6X7moX4/0XU2lSdc5FFt14qcTv9/qP+
3Sel9YFYmyEhDZplzfjpvVHE7hhr9JIHpukcKEbr+pxMBq+rIWHuCeeHsv73hxS/rkPMs3mqeDvi
mCCT6a/HDNFyWgGvmINBRFGDZNFm/9CRPvTVawRvrKgKlvs9iaHJ91n9PAwuFiLk79O5bq0629dh
P9c7qqR432lYef/6qSdTz6UbxMPAtbM+rJNm3TI18Xjq89mj6Dbd5AVSo31oCbQEIVub/9TG+eXe
ZOK7PA20crhF4Zf89YTUcbsU/Xo+DE7gvLZmsgwylzwQXqzsxn9/+v/uYPSNFhvNEmbw8S3gzRam
QjjVhwn6wm1SpP4JxRa7HNes2CX9/mC/XOpllk2WgjCRPbOcfXjq8tQQSLZMfZCBy8aS9jt3Fg8i
u8TfH8jCAfTXAkiyXC7vbpcvB539w42c2RHSWZrmvMAbLIYmezha8l7bpY+Io+f2WCUDnRAndOBn
kDcysSNRdoNgd3kNlvV0jtCtE2M1sllao7zCAaea5oIIXlpZdL2QmYLYYHvOFHZm+goroitKnwnk
77/Jr9cHYQDpNRbvNUaRHyuRuNAe1o+2PVgzoaQj6chHUI5ofE39r4seRsHcA45yaNiqX3xLXWha
3YDpHN2btC89K+H712Xtbw1rIXQU0z/2D5e3109lqsNrDZQtj77yBAkYH68S5GZbIOVzDrKenG9S
WsOBfEj/6b0hIlVLV6eeM/cRPJr1Dyud9fEWQUljgQWSqIkW4xfvgL8+ZsRYdDEhUclBIDHP5w1q
apm2OJxAbVrLpNr7gks0dTboqER77YclT6DdhPEFw7MCgpuV6LPZ53QR53Tp19SNWur6vuHPMzLw
yyaXLco6fv+tQrWPQ6kcY/fCNwiYoXEJcePOhXzw1Cy3V2bwMtjrrhHVYWg0+lBA7NOtO060xtog
pe+X0jgKVnE9MK33QmYiV65ppM0GVm5+N9JtuEYFZ+wnJ5a3pRbItkvGNSu62AjkTLgu0A3MBMtM
q1zYdhEx8acuxawH4aKax02p65kN9BwfGGKLtTNkLnSgHv4VqWgYidyO3rc5jOWrPSdFyTMjEppH
PToC8XVsvJSmuAGSjQSeammG6jCNbrFs8WfQRXN5CcSNpjdT/iC6kEPKpqSoZ/7tXANpeS8+hzSg
8+JnS11TozF9jiCi6u90y4EVoYkjAWylGxLYL0PPmM4VOXnRrZ2XGSDMsB66u9ZuuSDMy3i6S5FX
6bkkRl5smr4T9U6YEs2vaXmnEMxEelaVaL9Orcm3GO3Enb/Zsuidq6YWSytqzLjME+CiesdXd19d
CBLzfQWMyt+mVuKcBs7mQEejpzcXp1067SSIOua/wFKahw64sdx7uZZYTWDegCnDICW+zKNdXNZT
0hv3Uxlz6DpFarHxTfD3TO0yu7VuinFwu7OIjajdpNwu0S3bxbJZA58bq7VhxA7kRZBMxPB1i0IG
pxo0IIsl3EVeUR0KjGKSEekYq5MzEOB9ifQH92A3CRg6QOHpaZFF1877KWMLicWO+L6bsDen5kEU
bkPKdQwwAuOFJ61rIwZF86MOoGfP3TeHklZDJEv6ZgQv2voY0Ajx8AnpcvrudzOEtRnGzo8WnJv1
fBg7msSDk1juaxxERKm2fYtd98djJUH3cYfyzIzKTrzXwo1pvY2uFg9iElFM8lxMb97qFs4cHhLu
otqTbIyizOW8Wu3SM7eTtv+iYybhu2nJ0PoxmiF+8RW73lJIEN5OP65UzmsukqUT29CeX1UJ25+J
RMOZXChef0r2NBkjelfqhI2zh0VgxuAZSy8122PuhzymeWUsrBntcGKdYHDsXYJvMb5ri5oPIgio
h8eOtfxczKKeXvpJ2XA4MuWm6dlDVdFfuRP4P5kkEFrAE8f6m4fVq9kmXg1UXouKLnCkqY3JJxQj
BK2VyxgAD1xEt4B7xWGas+BSO1t9ojBPO2S+6D8qEssB86JVDYI5pzdvZG5yyBpMGxud0ZTc0UGb
PToCiYOP3nwXdtAh7zwaZHM/JOOPN/7/zEn/YU4qlunhT2/6zWv3+r9+JF9dv+bf/s//PvKX/i3V
P89J//yh/8xJsSX/NCSlMPgP187/w1VoQX3rfTtB4+C/9YS2/4dwUEebJnNL+gkLnu7PKaktyZch
y4pawhES0fC/y6z6UMpRm5pCWh5BNRSrWII/FKkUX1HjzWQ/DiIAw2MTfXE3inAmnpcgzhjY9WEw
v5AggBqsxnOzwtjvw+EYuotG5cPerkW9RxEDxOGn03j7o3r4OVbdtT4i+DyLL4fj0LSWsHMW87++
2KcWmn9qefJSwWkrb3xkLjfeLNEtYTZ205XoYUAJx3C2ccOKGKLB4t2LK2Ty++CrVxTirgUUWDfb
SqtcfZoJtrrWUT12ZE234jmPok4222yo5h18T8NjbpTgUULKBDYSI1FneBeQUeYNMNYCLqnIRied
MBuotHmM9BBelJOR86z5blafvaDN9MZRLRIaxHi0t5peLKLFZDs1/gPB1BHUH3/07NtZyP7RL6ts
Rf87H1b0lDMEnGNSf8l1boIesYE4DLzXiTuB1UCmK+4EsRsC0LYH3HVZusOSmmXI9mzE+TUvlzEc
d0UTPAFpM/aULs0BRK7Y973dvsVm1JAU6E4bmbRHFOmHCufZgyriCRU5RBSyJTpsLtFwmIzB2MQM
aciWRvl2XTu2PhVhtDNiHGsI6kR5Nhz/2WSVZuiAz5CqKQMoi1lArczeHa8MlHJ3c58Sf6Mi3TJS
HaZTqOZ7sw+zm0b3zExnv8BnMUoR7ogFcHCvYfmhHd2uJrr/1CK2Gcuz6aXVmXhcG/K5l9+6w6yw
IdqNSK9ITW3txyRskHey+kMVrreODixI8dn4oFkRV0XE+5ndg7tHyV7sKhJ/0rVoJGUY26jtXChx
QWxrtcUsAGp5NvHZmcwznLljWFKH8o6zXh+pJptdAiruEArbP/hCeoeIHJ9wExRm9rnqRPtQqjL5
Xo8COEfaG9V93cbztV1YTMkGU30NVSR3TtDVWxSjGEqtoVtnemAgFJcdvm+I6Lu5HqcavG8Vvabc
9ivbaqZ1x50GTj8cz6ZCM45mnRiLse23mRP7COqibIurr2DUiQ12Ljr7HHU5wQTmbK3CJo64pSEu
BbtxgLK0nmtHfnb5JYsFlRhwz++3GG7EqxUSFJMnWn9bMF9XNdy5jTdNzYWDdAK4ZJLI59bSc7MO
kIBdMkpImk052hr+f6cKvR9KquiVctvWW1l1riwUobSsGXX5epOFWTjT3QqMB5caDY6tkXWXPtrP
I0KL0gXjBTB5wF5CXBX7/lOYyuII25uz52BPpYBNtkk74LmGXZesAHM6b/nojJh6aDrheKiWsQzu
I8wpNcU0euidXfq4R714eboir3ZWIVHpw36QmY1ttgP4qAozdkEYl/Iy7ZpHPxrnL2qYpy3TU+fS
hzq3iiVmzk0lsOGyEo7PkHc8SLYeULJVHkKj36Rxk/prpApwusu2US9FoPx+49YNtvQSR9pwjcYW
ZYmYwaPgy1bsGIYuyk+6VN2iDxiGyzKUpQvuPiPTKMFTd+My32tAuYTWDfLZ8U42TOtx64A7XOmi
zW4cHgw2q14E6oWenrFrWkH0TtXM8lqyHBzzCG/MCkRy/kSGew0Ahoyw7QQm6ypYlKWEiCAyVYve
NF6Up4r092wj+tjZmIsyVb6LVJtFrzowzLwi8zcCAD2mj/B6iwdvUbiGus83eTUCQHgXwLptmr4l
YYcslkkFGxbDbuQtLe/M+AxCExHttOhprXdprXqX2YZVI5sdU1//WzPb9YGu4fiMHRfN9aLSFYte
d0K4yzCd2KFwUfOa78JeogSdY+TD7lTj0Ny7dokEOBAyuqN7bX0qhzw+K5JqxAVikPCWll4F8EZ3
BKqQjNG+lNqECeAAoHJhsoIKChYVMhukGpaRmIYrKqkBSbwYXQINbQ/BWqq76AZNEZpmd2g5HJ7q
4TvrOxJhIxp3tcL3SYAMhwh9cz45rM27RBPg1KTWtK0XLTVrw3RJvkrweViU1kPKTcc6z0OeIj8A
78/0YEU2h7HGO4pIO3HRa4t36bbS1iLjblF0I51E3I2mqT92npTvl+3C8KJjbjYGcYw2X3IQastU
5S2xESGOnkM6VD3ZTygnqsukUurWtyPBUfM3q17E5r5LNuFkVKckYOmf3ewUai9Af14ChIe7g98b
rJvIySM3oWlUlZNca/b3e6c0kEzN88RmhwfdWY2LDN5dBPHAMSyidzRa2IZ/xJ5pvCSLjL7BZn50
3JpMr7aKkNm7/vA2LNJ7mClq0+QlIHjqki+AqZchfO0S3Piu3KeYR8WvF0F/i/c9QmRvo5PyFlOA
a0eo/8n5UM4WKLx2NoiFfXunG2iWmwkB8ZNMuq7Y1ou9wHl3Guh310HoLA4EApn0TF7D4kzwIjW+
Fq23yIbfvQtY45pnkCvpE5YQLhdeXicZbgzTSc/alPfpFLj75N0RYcOxnWHnRfYVu108E8gWCfYA
gI9+Pypf9GKu6HpsFvgOuF74v3FfGHZSvNhunfM7MWdYi00DHiAaYLWYN7y6FaeW5YynaDF3hO8+
D+ouPB+Zh31wxXQofWV8+dwaAumJFkuMSOJXhwSlulrx1JE8YeOZiEjfC0DYGWWdn+GEdHSuE33n
SBEj9B5M4jdagfWiySxj17ftOfRHXta4uq5ATkSYQ3jETrHFoGiDcBS5KKIZG7Jj7qDqXpCbQaIR
qiZT/cXz62rAI2f4BySjgANshFINKTNMPbSYOwf6fjNfeolUJdLTXp663JxJlCF5EwoHqpQa3Uoy
nGrUX7hHWUeSdVM40l1TnjSfrERp426wHWI6el76dzy1M25E7gFyVstMHhCT8CZwAGXUF0A6nGkz
jUGEY1M51F9lZnv30yQQHNQKTooDLPLoNSkLbeQvbupSZslVE+kUKUGgciT43vTUQBA8C3tULzV8
OFz8aPZXKY3GN0cExoGtaV3s67bB2WuEuWkv5HReGbUigjjOK3FrxRgQDl4FhiHsFUSVwnTidWaG
5MgxZjbXBXzEVWv3kCsn/Ax2d5Setkr5P9u6H5uzf9jWWabjMb/6jfz1tdHZa/H1523dnz/057ZO
ubCrcHZJScOTOsZk9/bnxk6RKeqbLls016QjarHl+9Mnxr6OGS2tc587lN45iKr/3tepPzyPiThK
WuUoE3vkv1G/LsOWnzuyPk5Gz2TvRGCyz9DlQ98cNHnS5FE6X6hQkJRJa6MAyxzqx5yX2zoMXfcf
tmsf95EcEHUEFkpmw0Sjyg+bNRKIIipRqS+QfzV3Jnyi9fsk56eL8Debwo9bQo6CHA0NiMMg59fd
aue25kD/ZLrQmIMpgKb6Li2bYR3zMG9NY8xWom3GDU4T49wy0H38/eFd/8M8gsvKnttivsXGmb98
HHL2vSaJSSuyDTOJ4gxWy7zLVGReDKgBThPxK4cpmWhrAa3LBSBDO8CyXKGMXbem7d5jOsHJXQZk
ybMaIigLBZFD3jymGO5T/tus1DTC7MxA8jZViWRZDVrtrjtP0z7tdAryzks3MxgXApncgYocjEku
3fpzENd6HxCPSi8sFNg3ytqG+C0xQ1+YNU07JDLVdTOm6E8nmnqdTcTUKNvqFekoIWC8UDUUPr7R
gOXjKesp7NtkKkhBMLI1zS1PrMcSaG1EivpLRFbkswhNfnCcYv/U1qSzCymDsz+ovNsMbWWWl5wq
Rl0hDFmxDhiS2XuwYHxNU7UW+y5EoAxJvY2ayujGrWeAuI6PCYEhabaqVNzcldnAq2hQbNqTTsEw
ldF8hV4uvgjMfES1FjfMtq36rs274DD3atpL0DiXdTfzcexueErMfHiqk1nec3UwerSmBegYW18v
p/pN02Zch0pwD0Gkeoy6oHxm+8SVAedjXsjR5xkam+Bgd4V/kmw1L8g+1N/HvtKPZsOPaLNpP8kS
9HQwwcquw048IJVtPyXdWJymsvRPOeFs3cZPavxaTj5iQZHwAuBlZNW2rZASoaG1tmVtpedKRljJ
BDQADIbNmxPw1zBlpLkOSc0ML4wJPGXh9DWlGY+zZ3R6L+M+u8TXREyMon2MhYTWYmsXTUEF0WaX
VUvSGLTKdKMcY9ob8LfP4SjSnfSi+tphWsXLNBy+wc8xV8SupYQtmiaLhiiRFNbDU+CDePXrgV9l
w3mt2I2vxMQ39keD/KN0ediNmmys0BzWjs93kU7irzofIcCA2Qv6VlQM30Qa6z1uD4esHq5EMDBE
J1NMbwCROfkmq3rOKzlUrwoUKQydIEkgXxlxQURCEJylGdRv0D7mq2KM9KM1ouIu6Oayx63THS2X
7it5R+KBzQcN5TCbd8Lg3IKtMcmlW071cotmoBO+aVoIuznVFgL+mSvhyFLvHcH9z6ufGU6ogkPW
ps+j0YJRipv8JvS+m6BCB3TNucSxH0Bgjlr3xbR0vTQ/+ifm+vwLyyDbxzJRFjkOYL1ADd86R1XX
RDJyU6LCW08RF0oqo9sFtVPdVLnt3Pjd6N70qPMeiritnntXQuGgSY58N5134KrKFzt3NcELhns/
ecwSV0bi+WuvYIgTegp6amyTg8RIJt28fzkv4iHAbGecJ10VJMkQoH41Ynf7VLUGJSvgGA8CCOdH
dAJVW5bkazmaZBuXFoOkCaj93oVw81Zl0lxy6lLIypqd9GembP4pMTWqfmnZ9XUnScGyPnkpUmz5
PJTF2L3FTe88x6LI0/BisOfCIap6NootvMWxvwJ6gDRhDO3eOYMP0avamfSj8DRAYUkO60rAzEfm
Pcsd9yF4ts6ymFyVUKGw2xbXfcmGpeMOOzhGetuZrXGHTelsuP21AyxkR/Hu3s2Ny9qpJvsahP19
4AbXOaGDMNh4iEK0zZe5lT62riO2VMNoQh39JSYqaotA9GsaWfAIihDQuROBkJA4GkRfnYDzkC/s
DhODPES/Im5r7Ast+J4aITOaj8M0p/5G6EatGRIQA1+F8bUDTPbK8KtBryHlHUgCPRhpRVJvBhB1
VQFoukQ8QFfCmIgBxqiLChds8orE0+9hNQM6sd1C7fFyAaJ3irMuVLy1csM/JlFYXbUyGSH28cDW
CTxiYK2khMBTupw1F9ISg3lpwgskigOob0WKBCY8w1pXNvjJAQ/pPjJVtbaM3DwC5fIv+lDco932
d0yY2xOJR3a2tTj3b201jnLt1r4xEyvONaSn8l/sncd23EiahV+lXwB1EPDYJtIbOlEUxQ0ORYnw
QMCbp58vsrpmSqya0ul996JdiWIaIPCbe+/XDXtDJu7WEYRzV2Fz7gH0kISv94do9AUCZx9Okh0S
IjeH7ZtZjf0uAimA/6tOPOL8eMzFxtRt0tKpH1jvipXosnYbDT2i/zhjA+J704sHpWOFS2GC+Rbh
/8uz7Ctg8sqFUerMOyCGrBVdB6UY1v44cNnkUCGa9T3Vmbe12Ou5B8n5quPnIScNy7U02pXkvrpY
eStP40IKWmXoAGcniWEzjrmr2k0UYWEsK67AuRP2UTrN9HlhwRg0aTEEXlvux3xtDlp1ZKy4vErC
+Q7GXCyPkjCpiFbU30+L7R8KwBN3SWYu6yHs62PGRChwjLzgcieHPR+xvLc4Q+/d1gKLGs6CdMVm
xH8JKaLWhmKDgn1ZjTYJ+1Ds02fXwajv6TPksXAmwsgHFssssAKnUdyD1eNZnujjIUkgfLI2HtaR
FvlPOZr2XZ5wxROkEx88dEkqTsy6IHdAxAz746EgUOhG1Mt8ZNA15Csa8xgwm9MUP7AB3cTh4p79
qTOcwBpHMNxE7IDXtuLsIttFHGRcuKBxY6c5QeE2v/Z0ZxZjQcKjGFHS3seskr0gFan+QxZFkTMu
Lx2yhVi/kt1X+8SnaA2b9tz+SooS8d+AQNOzhX/7rTBTR7+I1hqWaCXwN9tf/UHX92OcYdBlcNIS
4AgQYOvG9vCtSkUVdPmo6gJZ36NCykkrHojh9BgNnZh/IlAPQbq7XH5FfGjMoTkjOqygOdLSMpiv
7GQ/MWpsgxSp4O1skHEJv0B+M6SntUEjZ9ipZLCtriVSmpo8h3Kx7FO7ZRpphDaHs0T7lIDFYEBo
oI3Rs5YHjuQUfi/zHDgLEq0HmbnqHsgoE9xQl+E6smGKQNAogjqW9u1CmtqDhpWZt5uYJMPRZ3rr
CKlTUFDk4d5xJvltIh5FbmKbL0mQYE3aJlXh78VXnWA4Ig+7/S5TN8VHRVY3dXKh8GmTSrOlDHU+
TfTGILIpGMuNwURqnRLgecBdV57zZiGfUG/HdVGNHMaNEjIV0iBXObZbHu5+UWkPJdFYT4lhRrdR
QaVR2o68IYpbvQq/fjYZ4EHxrWt1KC/F/N7B6lglPrn0OIBqcccxWH43pVMNay1yAItRJh4BbyKU
KBpeztxCO4+F1j8Rfsd3J2rNKwO8H/NOETpO+pDy/nsgQ1HEs7yi2PoqW0I821mVvz5pVW435Qej
5S0oH9GjV0zzuzfLZIfht9qUAGRXIhnbeQUNDNkCS9j8kNHp3/+iiRB/bSJc8G80jTQzJsSoD72S
3WumzOeRbXXNWcJcS6abuvDnbTWTKiSTEiZ7bLrvgwGWOCFuaqsJ49VL5ZexhJiX2DymNBsOci+L
6jI0hvV1kLK8JIuZnXS9MF8MC2LVRUayHE5g6r1DiARmzYxhIcCOD7LgK9zD2rZvdRHLDYMK6oS8
8M88uJctibvzyYqpopq6R06ivlnD6rWHIWqcT/B85/eCcHEb0rpFep7Zcm07lkO9MVb5oe+5cOIQ
gQmZuLAorCjjDy2AI8pVExXcAdcaaSqX+h5IsvoufVUuZRRS7KiYwbD6+WSZmdwQsiYhiAvvTMIx
z35Bq0f8/fAULRohVIjZ85fG7NELd/niMiQKMeR8GXHAcBS0HY4slCuEekjsPgRdmUxkm8A2OsSY
a95QaTxVoSVWbW3K7OA6Sx4dGPYl63BR/0dIIRWu9RaITRAmDrN88sU94+Tr8H3cnIRSTkFqKbia
4B/ZnvGOI1Lt2GcQd7DKJ0ooF0HCSkNLEtDG6Hu6Hi5tz2q/oAZ0AqMUdtDaGoIQ4LRQFJRy1ost
+W1OYVQ3CfSSfuCppmPmIuijo5CLS6d/6pL8xW1UFPwk5FdvzEk8b2bCiq6fnZ+h+zkuCx8+N7v2
0KDlOQhuWKhVyv2aQcgKGOGDNrW96hUkbfVqobikzsJvgqGC79PsvEaZBAHqkITGbpJmy8nL9ktZ
UEMyMSMVBsTiS6dq6pJtQxAXHcNJa8kn8mcIqMUwFxWHpsW4Sm6FCZwyce8Ls+mfdEFOF9a16tVu
EWDrFpWtFHQta0QN3HkdCXtM9mjk6zqXNx2RLYqIOVWvXVgSu+V1VKShxQSXENiFe6QFziLYA/IP
SXKp367WBa8gWhhqPYPhhIDVMuYsqmXNNIRtmb+afHV0xaQ6bO3ZVWnMRv08znC4xEh7y1wakBWG
9GMyu8R7Qm/ZNRxcu1IngbjyoC3jO6CtGucEjQ2dN7sdeVNk9OUuMIzP3lgu7x536bJJPHRhmVPc
DZMrv3V9R5uj29GtKPEjogJUPnj+0hLqxf31VU/Q3gUpBxUXRpWr78AcSVBVt+pEJ8uDJBtJuySl
266nfjs1RQq7Ux8J+hoSOlLVNCQInsp1PFn1vQ7hkLBeiC7fr2cgObUIouixZ+btEINUsUE/bTp8
VKoZrMCOnJAGEYU5MNW4XoaG2rJyedf6fgKTeLEiOk2znev7a6ddmlw+JN0QqiLoWGv2eAdyDJM9
i8oCkghq8z5kaHtty7RI42OwajoKBj3KOMUAZUm8eZtJGnGi/t7RJMyXhduNRATiUcLViOwJUx5T
A11O2UMtrYn9TZz51Ic8CvvKne7qfmAoUsK4IJyaleK08I50lOo0zwu3YMWu89EIgUvTUoOclL1G
oGrKJVgyMBk3ZcEdE02FfWtkjv2JB42OGdwZ2i9diu+IMyyrnxfG+6h4urF+i1I63Vbv5s+lxm0e
Gk1+0FRTa9oWxxqdVHi8dsga+v6V17plE6DK428qDJrseuGIMwW//to3uxYd2pShfi6VJQaH0w9d
Vzil0NX4+vKCh1Td6tn290uTPKIt29n8UFYifNBFXp5lZWTrGvPB2eva+rkSzC7IqmSW0asxzliY
KomHCjeI9I7DXUOJXuV+9TJFeJgavfbBd3DOVmPMRxizxHzTS4DqY5ahZGgpWzfEfNIiptzT6nqu
G3UMQ6NqT3mbMwnyE5daI2v4cUyUhCYhj36M1bRxrFP1FKAwfhEel4S19O33vg6r11iE0a3bI8IQ
jbp+SO3bU2IyBHJ4O6GaOlzLCo8sp20EDemhYJ29XSwek44rjMfrs0F0jN6wVcS3Lkc+/b7aSpPd
cetGGis8f/S9c+3zCddzZjyODamkPpl3mLWpQCzakCB2UvEoCbuHxc4X6TOYO8y5Dn8DUzaAFooH
ZJsk8VAvfW3bsZFQviuKolFwmlnR8DSPlCeS5MCzXuUYtgvsDrChm+eq9VBAOnl4pG90gusoZugY
FnkGjrKoJCM6nRhktJwmMqC8xP3uTVwh1bTsEQaybVbWpY5Anj3YGm6KGcPZC/sZBoMjszozCSnR
OgoW00FNZzDUI7P3yuJSx+ykdvR07POpqazoC93UTE6PoZK1inai+2+g8jU0y5/ZDC57jV31HAxs
3G9dneMtHriPMt/kqeUMktra5FrTSA6ayPp+MXIYgIeSdd5xlDnDG3VUIuk2Ng3p7beLRyZzDm+F
aYPWbsza5/kQ06pyTzZMBcvOnS/op8SjWbv9DxcC1Q5aHfbcOuPGTXyKP4n77VtbNJQcNXFAB5Js
KR5lEt8abvkyDDaf2lWpy0acW2XI+Ay6XKcKJdb8maokheA0zSEPZb3yqVt6OyFIgXje1VhTTlRV
iNh1hjo49Hzhs5ctl8xglHn9n9cbcy5SHjGa6Js3m4zoB8lD5VAu3XQ3GSBmSemEjjJW3NCJVR8j
1+aQGWyubEu6C5o8O1ku0lmohEdAoVObvffWUjkbjCC8PzWgc1v5Yhl0BKOqAmYScFjoG0u/o4Hj
HY8HN0/Hfe9ZX5cmiteLmoB3NLKbHqg52UBV7x27EGjUP5erHyMbryNv0iEJvbOx7BHM8bMMq69M
oqfSuttbcJ9It196+9Z1OmMTAWs8zhZHW+xTfKM7n+7cqCrQatjmfqE4gJlB71Ky2G/NYYZUKuvn
HnPr7ZAY02eOhGX7ixfL/kT+vPdAfiOUKQFJG2arDy+WWN/MHTSz3WsJIctDWzqfZsB7gS5Slvc9
jQnTCgpRgnjFIzZoSitGGceMmuc1lYxWr1/2P7+oq4bu5xfF1trAasaLcq2/7EainivZT6J2XxRm
zYXmm+G69fr6TFbnsGuaPiZlIl82s2kymwh7hmyp5Nt1Y9XJWUP2kI5cVGbucBqEdvWd7ah77zmR
3HDKUhhqTQVCq4ML/c+v/G86FXbTGENZ7bh4esQHowd7zqyKIq3bR5pRH0OfuQ2Te6rHOq2be+L2
2ESYOLsGzsSXduYpUqKtDhEz2//evfxXgfqrVaXrqDSW/39V+RBX33/8C5Dwx3Xl7z/4x7pS/CaY
XwmsEj56z5/WleI39pGWDov199SdP7aVlvEbP4F/iVvKwX6jFpn/l9UjLFsn4sdU+83/IKeHEe+H
e5Z1KPZcy+Q18Lpwrf18wNRwt5vCJzFXY469Sue4+kRsVJdsIg8Qa2LYzyOoO9ICZYLeUT5D3tAO
+ujeGGRPZEGxxOoEtYp7fyjKuxyZB/07AzLIwqi9rRG3Ix33oSEmHxWJ5iLKgSNGOXYjVbIZlS2a
+LF5JbHi4oz5hTyKXdgxieka2w/ofMjGHnqm5U3y3ut9clPwOQa1KzFTlNx4ugYmnQyxEcrKcqp8
/c4RrcksfnytplGhy5oNx2RGeEXy3uak6xVmNG9wH9+45rRD2i8DGZXvPoHnI6qncKJgsZJ+ayHc
7+flDlHCSY/4U00KHiJOXmfZkVleL292lx3J6XmrXOe5ntttlTPQZ/FrfmG3sE8az1mNeovJug2B
cWnM9jrzORvyVxcvxVZXusImu6hPoCuYOllZ/p5K4obaqEu3Zj5Xa7OAQgx0GmDeODxG5vjglZMT
4MmJDk3uv43ALXYitvYRGZks4qrDouJJtLHlg0EUDL7iaMS9EUzZ9OjE88MorefYzI7RlL82dfoK
K+nGjVGKrRyLREveEGqS96qb76yc72o2OySdsl5pVnZckAOuJtRzqxLJ4sqo+KBY6oUrbGiKd6nH
G5YTUGo05XOVQO+vxR8BEq89oOuVPpOUQd77HKjfJS3+AH6Wu7HV7zpj3JFrcgK6imiDHGzpVmCF
s/jdzPljtkguGeNngy9nj/Kfdovh/6qy5qcl7GimOidfJ74JRa7lF0FhS9exby3nBt1+NeMNsuqQ
knp6LMh+nuZyDMq46dZAJF4pUvwN2T5vpFGTuRAh94+b5Car3WeauG9ebd4CIBKsZwRL4m5Pgk2z
r6fhcantfZLIjgvV3EcF35Gme6QrdkO36vvlxFIr3ozAfAMcwiasVa6EaSEXssYWupKt/lRG4s03
RxCuhG8joc6Pwh0e66Z/tKb8vUCYFOiYfdZ9MT2aoYgRuXRAfg3UO4ujAUSB9RBcP3dROjd4n5+B
vMEPsuwbiR16i5TqESFXt4onl0vRdAgXbea9Q0IKtRTpF4ZGCEeo+TCsYsgIpJsDT+SyyyfiPgAJ
2MHss2Oo3Xk41pU9HNrC8Q7ToGm3WTznmxrH8W2pyRnGQT4ci7huWWXk5huq3BcUts5ZIJWMuGqq
BCwBYYEyXftky6/pkcfX0K2InoukQYZtCjLmiWCHp2ICmrperNaHKGqQNhOH0LUzJk00DdlEoGIM
EhiI4lp2c7NheRXjS3IcB67w1ETIfzrAO259k2vxXVkB8oHz81RpZKG3vW1vht5+ncq5eStJ7+Gu
TOMN7mU4KLC15OI7WzBS/dpAJgbf1+5ourn8l9R4q0QlGVYVyLBhkTuTIbZE+PG9EY2IapDLENQy
giFKkVu2uv1uYka7mjP32dWcG5bk4yEcmndtbE6Wkx3/9NC5+72c+bNe/6PiBE0LPgYPv4ThuPga
PlReSQqxBnFftbcGjSD1vu5Y+E83JM5eFoSZv6hKefL8VOep34avGcmEpeM3dz7YFnxr7EuHwQyF
CeCPUmRHEIoxPEwO9H9+Xx+9jfwmNGkejSSeYRXx/PPTaXRZIaawJHALZq9+yGmojuNUjHNAq4g8
kv+m/6KM/Shzuf5Oz8BLT4ie+s+ff2dklmiWiXNE5mLHG7sdHquJG5st+X7UUC6o95vnJK20HID/
/HbNjxX09XeTJqm7riA66GNSAayMcUlnr9zTbxFKVRE9PDMyUcfFKa3SjFn69Da2E/TecRiO6QCD
oUFFuUIk9xY7LAXL5dRHKmPAtPe+X4AYBalheONpdDi+8aGhRYXOXVfppUT9WxBwNhXRk27HxdqZ
rJvegxymdBM72yb1hOkB6ybIc78obv/mEmL6wLSOEhfZ0kfni5En7C0Mq9zHBqFGlX4HpeSuUByB
f/5ErwbUP5f/6hOFH6gCDT3ysT6GWjB08ib+IdeqnxN1grdvFom10XMO4dLxwXl72aVDW3ufD/Od
2+kF4UQ8Q60leq8HzmVVqqQZBYQwphNNNGSZsX8kseeGqNtd7HHc25KZShQR58M8dnqObIMhP+k/
mymZk1OPROWhzKanqVHMdiOxjh3L7g3iVGUITt4B5BCkk+V8i3DsdsRmvYfV8uRF/XbpWh7e0tzH
Myg3In2DCNz7ypTTKXOZyRn9cgcnixwmg78bAtJLAz8hcMHF/+KD/JsTxrRIXndRC7l/zbKgwa9q
SzPL/TIiUKCcmDjZiJ0i8Gw09//8pX2Us6nvzNZ5TqHJIw7+Y4BCQ9S4m1tzubez4cFqkyOw7V8c
mNc76cN14aL8JU2CfyeiRr2GP4U0JHGdMaTQy33lD3LbJpMREPjzpk56NjnzrkN1lBmELGrGzRj6
8cYt86M2hV/aNP3mOaCzjGJoWIan5h7HHw9Zn9NJzsVFiOh9cUZz45Lptc9NZ1ml0L5XCJvac56A
UfTkZw9G/cppEQpYczIH2HOJp0IxFSCCl1sY7uCc/NrYkfyrUGfJO/lT2Yq0vsswZcfMBuXrOSkF
qiBdyhYyKBUHdtC7h6o04o1lLr+KoPmbO5bvgsAgjOY6k2Hj5w+sNGQHmLgo9yKnURhijJFJB7yC
fRLvOeYTSCi31vns3RSsH4OwbfTVIorbLuVaRoC9gaTUb8cQhXDniGrdx/rzmEoTTburUNXOTdi7
TkCPfRPDQSRVnpOIvLxq7abzk26Mb6jHiIFEJ21SHfq1At+iqGLi+DRTiKH3i+XOzMedL8eHyIb+
kjZcn5bk4GOQPK58VONg/nJ/Z9jLky+b4fLPF+7f3CQ8M9S/MCPRvX34jMaodvNuHFAmeOWaEmda
uSMvx9IB0cjoF9+I+MuAgPsEB6HJsSZQUvwlX0a5w0y1Sds3Rlsi/2urtRemR8jCe1/w/TAgzVYk
HuByMDimMBI9J1F+gbVGFAhROJBsfBkgaydA21kgmeRttyIrAT6nOGtQw0EetUHsU+1PZWWuTYkS
IF1YVs4ngIY8jLnMIjN7DUdVpY7wdxb9UvclA9XKCChXNwOr5m3HV3ptLxdrMtfEo0AZbLKjo3X8
hMRpLMMeMuvSxYfJwyOtmqCQodB67LLqWPbjYwKdZe2pROilptWzl/GxYeTFfIYVhDk8ku13V2vJ
0TSp1oTbQ4XO5rX6LwCMasR06oKU/bAVVtNu1G3UTvZN5Y6PTqQaCDvTuJ8kzMyaakkP08tUs+h3
JX8aluQz4encYh00N9+e3pquW4+9cgbnySUx6Vn8iVKceNrnNB4eRtMC7VLZe2I/jxph5UuBErQh
NG/VdfmRpnhXhDxZErbsCBiWJ2fsLrmwX+J2LI+ZsG+Y/q6xoM2BaoymhSXFWJPl6FHZ5531bDTJ
r57Hzt/c3tQ6Ngo+m9gUluM/394EQaaYpu1i37rzW9kOD3jFbqgv+PCwdK1V/XVttavOF9vOp9K7
3vNl3G0hIgAMTfmxujDXWVemGx8hljc0prvOuwjLueGVGwzb8z4XrUaDlhX1KiKRvC7z6I08X/8i
G5+xasRzEce/fy45y5kqmzeGxhmTdvPTYFJu6Y0J70FP+mCKOibbHpV1RGPI8zA2ISimEWW2m/aP
3cAJ2hjdQ+PRkvp9foHi/mDZPYPiHLI2zjETWNiCV2t8TMPCWxdEPRAfPr+RBMVyQXYPLt3BPkuc
m4GHCE1m/2hiiFfVfOf+8Xz974TtVxM2QVHxp1P2Lx7vS1V2H5gxxu8/8+/hmtAtJmVUeLRABNsx
FPtfLwAZyfgE0K2Tdi3IRzI4kP+AxvwDytr6zaT48NGJwHNlACj+kxGbZX5QnHBD6Q4VKIHYZAl6
VzzNn0sNuVQZGtWZfY6UvgjyK0CXSBwbOZ+TzXuX4N4SaVHEGkOFz17QX3MS4VL53l6Rvi7CDTZT
elyDC1xqGMZV6zpvCxPiDWsuj+z7Qs7nqs6a/EuyWPW5ahf9e2pGE6qaPpv6lU63oaS+A+TiRHOq
z25HMPyhrX3aiMlMmvHSSKfcxORvlGyn8hnLnYOyjJyOQPQhRe6snXVC5nHQKgCzSMvFWNdz8zL0
eIoMvNEHa5ggRM8pIGdanN7GuwcYERZ8jN54LO04sBQaOifB5dDnvbvXmr45DFWRylWTlNP9UGs7
A47YujJ85DaTuYtxq5LzG1XqVc1L+mWyWxmYPTxBMJDn2BfkTqSLaIRYo60PeQ5VeYofzTUbunfB
qIpJFdkNgGXDbBErvnk+ZX3pBY7KxD6y923vEFemzkk5iN/4RBiltX4a4m115HLoGqvVrJPbRFO2
SRtsBXhfJ7lrPIkB2JiM8cKGC2VfvnfzWQi93DoL/kXk+hYed3OfJlNMFlLQZnLo3dPST0R0LugT
eahPGxR0PQ+NlR816JMPosiEP5zIZkwTB4aIcHzvGtPiupKFlI3YyDTEQ9uSgJ0jBp2++6Ur03c/
Fe37jHJq5MgsW7sgd7YIxdYBPVAhtlRARPC3io1Y+MMZ0SPP3ytAEXIQprQ579NDYtFKbuDM3QtR
NRtdIRnDOBtvW8Vq1JMk5bKcsmo9K6gjUdriCK6kQqmpY+JPkmyX4SQQiZweOqe3kPJAVWcw18Ql
D9aO4YyH8SuwTD7twMAZt9fJE+02uTnbh2LSm+2iWJWVIfM3o6uFufUzdt6rRlEuuyvwktFoQ+PW
+oKtVjdSgTA2S4skFXur7F/i1MLdvVSWfafxCUJKtGT0EjWWfopSWJzFBJUTw1q5dvl1F0BEcicW
Md2XiuUZjwrriYvMBS6kYJ+ZoWcnQ/BQWY0Gz2TS4srDgHzkJgHiiEWuy60zkUHLsQwXql2E2esM
0iivMd1C+qHdy6MbJ257ImYs50zbT2a3gpjGDThTcrmHnVSI00zBTnvhys9EGd0gOLbv1ZV9G4oW
godulht8FRdYePOKZQ/YalPaBNtKo+ETkPp7JWb9tlJA1kgmjCZqi9zgIQPXmjsKCuNE2COHbEeI
JPPaWrbfcRO3OzS1/qfI0gBMmJ5xZn33tJDBUCpgrKuFzjlbBvssE1gvadqOX+wadcIqzabxPCWm
8RVV/DStmJJX0WrMdfPBoRzdiLI13zXXY5Ha8WlsM8W47bv8jaA2P2iSkMWf1s+1r4p+65M0xynG
GDxUb5Y3R492alHZVegYvnUKxFtCPOfvkNqBnGlijk2prRCb5IeR6egRJBWqrTRNcTQQemSWAH8n
m0nIiPzOW2EzSbedHeHgdvsuOQk/pjhQLGFQ7tkjzCMo3mn14BkzfoqYrH8FItbY6Xorj504ORIa
eiV2b973STGM/dxL9kNYld/dRPfX+ZV6LAmBcTZzZVGRQkUOnfShKxrvMJvDtM64uj/hYoeizLTK
2PsKrTzCWIaqCOJgsiMX+ygY5lQBmateN18qBWkGEaxhlxT0LJPu2F/BvvqEIsnloboCn91m/JLF
9GK2mVYXI5cZAYPQotHhDpvBMLv3CFVxQIoC6uo8bom0Msxng7yw20UhqAcFo54VllooQLXRNCBA
tVH/5IpmyYK2hlC9rao2gvwH95qgo2ZtTX31gJak6oJZkbJj8pcwcnfRO8x2fV8OpfvVNHAbrBcu
rc2iiNtxNw/OCnHICG+Sk9+Dzg6Bd3AuRr1EAXekubUiYXyOWDWcPDzfx8pv5F2tyN8dWZJ8sgoP
nsxN98keojoNaoUQhw4LSCgWwMXDieB1wVr5sDTz3AdEQP3AVWVuxAQKDNNrdZlS4jzQeDVnkuTH
+xwmJKxl/1IPhg3B+ApBNx0tu8Q6eHRhAErPW5DpqYKnu9KbP+mjIqprWIQeLGTY+8HrpkM1hYmF
atxC+IBk6bYZZPal8Kv6C+qp5q7E3oAoJWQKNBFsHSviu2iseRPrVbqbG3jwIW46dFI4ltcW77YK
kN/o3aGE4YxSyu0/szwkgySxYIJqiU1ytaLT13qs39WtiyIVrj1N0pVmXyiwvZ3ORRYkDRoQD/Au
n2M3PlsT2Fh7YESFL3+Ig7QOl6NIhPPGiETXgioskzvSZcfASXX/y7zY7V63Fh70HnZGJeVrk62T
ZM4Zwax8xFmDAF0jfzBbRaFHcIFHYATQpWbbSjrS3/2N/y2Of1EcmwAxacT+//Xzlx9t96+nhLy8
Mnn9s1323z/5x/4ZDKLBDkRl0ZIxbZn8pf+2y3rGb0RIEtPsCERVv6+Z/yiR9d9U+iMuWlaqSBHV
bviPHCT3N5VyqOuED+pkJcGY+Q+20Cgx6C5/msahxCZDzGbsTVAjuPifu89otoiJS0nDb4lHPyHw
tHnIG7I9mXNhrXNLRVxmvUnhIzSgfhFKiGRKOH3FuM/iRuP0Z3i0bYgp/+R7/Bl8M/5TAvN9F5MU
uDJJt65O1WTX294BSsYEM7YP7GVhzvWpijmxNRVp4nt2bq+szHbWgz+TNSGLaY9v/Vh6WY+Vfo4I
wkB+/ZlnnB+iMWoUHCp99sfxSbRQeFcWhtHPSzcQnDLmM0FBmr7GLdXfR2Mljl1VJmTmlO246SiO
BlWV1g/2XCdnfkRIdIAuJQERPkko0xYFKaqjxqyryzLO5WpqTf3L0jQDXjR9fgzlrAIWANwZfssS
y1/UO8/LrMWh5CTrhGRB2CY2j5V4nItPUWzbW9IfZJC2/GNXrwmBEcnnKqvsVeR1w8Wz5q035F2g
cRKtI5KmQK4kVvcpw75wF1bCvA8ZHkwrIlIsgWS+5x3nnrasSX0iWh/vz8aQg1jBIc/XvOYMmWpH
yVf5UAU114VpYX7ps0zuRRKfXQtetehjDH7L0LF10y3AdkPMLNYerRXDgcU6d+DfmZOUlMOes3Sr
sOj2PvlYn60WYjphBYvYaIPRBKyGSH9q2tLm+7D7M+I31JL6V2iR9rrnvWyysHsKy1lHGNp8njNY
ij5RJC/NmM5H9L2UfbMXr5mgbyKWf+s8jaKH1ipNQifdKr94gIJv8hKOF59yEbsrHAAOGQKtc5eZ
WrjWYnf4GjahcT+zX0H/7sCyX+SPDmPGzGBtcTZhnUR3y5i2x8kHEZZCwmQNNZ1zhnIkQTqod0ot
vGcS/By1VRnYhBAdsPSE0Wns9Hy4n8j6q1+bKGpf9LHu35N0EPdOIe0Tsw/zU0Z7s4bd1p+JA6pR
Ow4FH9koi+ZCKMjLOFn9jcbid2OM+g+rLF4YUFakdtllfSCduCf5ztRv59yFnIe9w/vKc7t/XKAT
BWS95pShYc4Qruj7gudDb6fbkPzCPMjLcXyJo6XSMeD1CVpVreZpmamGCQeesbHdDjkJgyX9npAI
9uQ8wM6ypgkPJjGH94M07kZbfF1a4q2aftXg+gcvpBekGzqJ9APLjetmx8LL2OmR4XyxQ+8RLN8P
3cDftSIiCicFw+u9nQ9MLuMcLCNCRbXOdwyWP5wd/A0EdZhtfNPWCclS/kgyEOxELmYrBqoUQUi7
tEAlo50HeT0iU1B+LRJN9g9NN7u8pHaban14hw2yoinJ5GUezGHdDs607XV/N1tmfMiomWHNLaBC
0IuJAp8orAa03uQZbvCXkjEz6ZV9QaYHw155wWIatU0t6WYwpmprIR3vi9UUs41t+FQS6LiPQIbs
Mo+YstAhFsRWvjNfOdCANKELJ4D+eVL+tCKtx5OHI9AqSRmVVy+bp2xtWZPa93FVKLorpjeHsN7A
GzKLOqCoj6kyx1V9L3cD25ZgEEV0GQfU80GfLstjrZx1NpaEy6R32hPWl7jPWWtl0brAvwdSO6q8
zaSZxTaVJ2eesOROzrpqWgMVON4+W7n8cluvLiI36wSMNuxRlYqLJdC+2gMzZ/A4qZr63vQbk4Qj
fISOg/cithkzBrNcMNdfLYe+ch8uoENWlDTjCQspzrNmeMlp3djMK+OiDVJnayg347QMN/kSze+I
S9C9Dq67xaWFjo4ihgU9nkhLmSMdN/bJgXSIlMKG2B/CAqwHstTmnOT9i9pKbMcuH/aYZvBd5mHF
pLCTyo9Jkdm9GVeXJrkS7dlS1s0BD2fkOt7eVLbORFfaoZKkEmpOPA9Ls28lYHHBA3YDUhSEpDKI
Gk2pH1AJ49QH2HhwRmvaOEQ+nJwOzxRPbI/KSjfOvSv806RMqJORP4SA0QK3jdzdKH3iv0Klkkrm
vlrhpbDwiXH2omrK175p1IearQDLKHyVa30y7xpcelo1GXNgK5NsrOyyCQGkQZYzCUet469tIxFH
ClRCzPr6NBVFvdGXqf1uV+SjRcRPbYDEkn9rEhOwKLtus/jfmLgWh8huvtd+hLc3G78VBW2hLmbs
vj2PG9FggCQZag9qzWQh492Qf/jQtaVJXpfByrUf7HuESMW20dqbaE4femUzHuP0DiWLd0QGZHA3
5jeRWyzbycnwJ09JhFMUu4CztZeWTiXzI1qjoe+CRhmccTjNq7Hnc30gBS5yjjSlM27oVo+qjcGT
syG+dTIJTdfNGV29hVBJ3zilt+gb4kLl8omUBl97Hltjmsnoc72FTQbbWbLuS/ZXUyby3Nq4nRDz
vhbRpyyr3HS9EOBlrtost26GTDRcVuh84eumBJzp0L1+zJWYwOr0S31rEAMWr+X/sHdm23Eb2bb9
lfMD8ECgx2siWzKZbERSol4waEtC3wW6AL7+zEjZdSxVXfv6vV5quGwywUQT2LH3WnPlcv1ot6P6
WDWmuvGHXNyOXQ2rdTHgMEyVjwJMLMV0Y3oFdLKKWOe9mtLhCLxw3cHcbY9BYXjv9OGYbjdjfjOZ
7Dk3wEOqp2AdGaeaFTZb290xfZ1RNQXJl84ajUOPEf6hX4JuPwcd8hY55LglapZXon44QUzB1T41
k+QV2F/LWK4aaAYWdPRDfPQo3lZn2poopDBwjgwmebsx7KMFY99K8l/THdFTsIIJPcUiTYjzZO7d
nnfbJsDbngNUBs+neYY3Sy/qZLsG/TSezHQZbwlRNk5G13kUfrHJRICpWHgvXMPDtT6sXbZnm4vS
jgQcuU0h98D77cy33iXqbatyM38MUtk95WE+92QeL0R40Ug+9Fms9sQKeEcdEjfhTFbI/U0c5LQL
5DJ8hGtHcivdpnOVa7orQrEFE0pGeGrvHuwBQ/EmW4cRRmQNZbYrshiShz0dk8yYSXvL2D3bYCov
zuIR5UIF1JE8hkT05BC39RHbWh4lrUkDLhnhnO3bxaknbpfBZAM3DJ9YvFfS7XoPZaP41fELMGW+
a2JOpt7qNmVhLgqtY4HSbBjzZSNH14oGZsu447wUcRZJHmjXinTcIWa5a9253YdzNZzn0XdPXhq0
S1ST1PHYl3LEB+3W5cFBF7Ij1di+Cca+m7Zl7SxfAHmnn0Nq7hdr8fzb2MEJF2XL5J97k9JsGyci
Ce+Q19mRtfifhgq/AnDdBOOZ6+wBqiSRpVzzxGwfkCEzdO/NxkBDtHNAok9GWg3vEiu8K68cRCNO
IhT24p31NLvJZkPskKN5n6YrSbG4UhWNLoOwiOMM2CLNlj15V/YTgEx753ozfRR8WDvcLCHxqjg2
XTVNt7gU58uigY4wn0ndrmcF5A3cY6PBj4ARYEBaTePsxZUM2WJA23VMTiOQaNnG1ghJtv/e3tJY
SUsDJluNmgzQwX1odfc4Yj3PkU+K/hmoVPkpEZpU6S7AEpqFgB9kDeYNNuNu73O/3poac2lr4OVs
gr60NATTWF2DCSZEHUgDgtqfxpLrxmMEsRCCZqFhmrPGaualAWAT6hYQA6Cb0KjtvWHK3dB2+X2m
0ZwA0aZL7vvWLYvExIA25WHxJ4uChZXPLmQWpUbX7goMbGhkSSiLimnpNk3V86xL8h/bjBqlrMyO
Aor+XYoxC4Mdic+7rBu9b9PQzF+8SqVB1JahupssS9n7WTrN/rqp/e/+/+/2/y7jiL/a///Hrf/3
X/pj6+/+YmnclcdsIGD8pDUJf2z97V88n7LECZn74tjQXYHft/6gsnQaqTD16MyzfkIg82k2ogzK
D8uirfBPtv6++DfJG4fH4MBH8ldAmPpJiEMfsGl4OMQxCJa6RL3bBJE0QdCs9dKdM3Q0qo4/LzU7
8422mL2YxHVHjklkZZYm48VuPNJI5WTv4YyLmD2DGzyAOmhvcQ2Wz02tYwaQ2Z+6eHiOp5j6Zhm7
dxOTscS3S2/lpZdG/XrNS22rGYb6ZBnyi6tDUps0Cc8OPdr32uyAzCuL4EeM8vwQ3K/wdfAa42uh
8G4VGHXUV51f5uc3We/Ml7TxdxL9RJCo/Jbivw0O3hTXz8gDmGJsEmNEbTdYDK6stDGeDcdFwwLk
YNpBoWOjQv9101daOOuzZ78IqbDoFmlAqVtihO6HKeC0wH49ovZKznlLxDZubEwsTEubXRzMs7sX
nels4h7iYrXWt8mMHdENVgdxjVN8kjmyEVfEztYAjBaVsT2/XgMZKqoUlEm9npa3VfsQh6vpUy/j
jDSR/74N+A23I2K6l9SkbwkmomSwxL7Hf2VFZMH0PUUY5Sp1iqXKY7Pbx9e8SH91Buu+y2yyZgwq
9GfZQZYfWzyAG6+c27drlgihOuJZXWMiv4c2pjpkMyxc7MmLNYvn75knZat9XvjuTDozLLqXHujb
GPlD3/ZI5IgC22G2EzD60xAOliE7ABXX8A8KMdxt13/8nr4QMwkhAHes+bklrfgdtlOFf251DBvV
IVQwwgvi19wJdJzYiKN2mBw8uSV7XrFNlBu+fs9fRSQSvorRgCUvA3oO3Jq4MC3hckmvPsLZb8g6
UUNon+x0cN9bVXb9wWF7xWRV9ettWC8cHxhrc2uRgwlQ31n5QleXntXpZXnQUQck/Sz8ATNofJIh
EqQoUTXF4JNmnW+RxBPBru7CIAqYMGq6beA3hBDEU6kDSAc8Gqeh1RlYSZMPXyhHjSgrVv4/xTIf
y8SS+IIyz4mXaEiV7Nk0XmP/nKDm45Wnv3ywou3arNfwU4lHmOpNZ1A4XgVzV2lH/toP7ZuXjEbk
GC1fIqYJ8QDEzTtfj+j5DKf3k0FSylwyN9zQjef85joHd5YF6QK2w3hk68wWeQFSCufdXBZSCJyE
MBVPB+V1JBNTuMEsoubKXecxycnaKvByNaeMuXav4bKkMHUWYv1NYpOyflgqXKJpXHofnSFfjNfr
XwltdEyOpBFkdWQLlz/WBYgBZtuyxQUsGkjdsoDrhZRsJkykQDW1fhjQXBcYP/QlRcKsz0m+mP1l
WGg3hgiybhfZ8P/DJUNEFYQJEQ4k52QMSg1uCLTwGM2uCRk+nq6jQ8QsPcOuLb+tgH/xOXgGx6qF
BV4G401QHRooG82tLypF9mwLGFP5BXbiIbTWY4/s8MmckVBNOXw45OmjHZmU4gH3aY3fMnRCNmsB
xUTrBgs7AqOj2rRwJowVcIuIXqJ/8Uw/vs3DJXzlYnopGwVfPGEQGNYNc/T2bXDGPt77uaU+TNzF
h3wOqv2KU4mtUOI+jtnQ/5YbeB6Q5/BYlGGpPgSeQRSIxUxiY8Ec5ctwAs7AHQ2+XVU09mZtCOmL
hpkyZuuGNTkVnDIc5Sp0/eMMWfW3jhYkEx2gYzZBwzO5OlZfOKeEwe6JECnO74JZ4FWyNTt7jCIm
DljN97NwHbhSiZXsjAEZJqp8EWqsSXsCZGcjBwrSNEI/nTzWoq2fUCfgEWd2yg4NN7MFKn7198j2
l6+OX9k3MUaiYz4F4kvp+leVrvJhAkDK6aSXfbU7NT9jNFhObVVXO+jGpMBmxgvuIfmaWk6/xVqL
T7SkN3UgXgYjDeb6s1D1zL9T9d4MqmVXM1Fn4KV5PcAH+ltQBj5Meua/bOo13GcpYMljAYX4gyxG
nMYVK1GlgUDulQ0UM0WiQNfIII2lkRoihPgLntB6ZQuppVtuag0cKiEPQRZGioBGBEJHEUzAbstr
F2vVDS12j4dBt7jWa7NLt73Q/zebQrfC6omJj26O1dc+majrT3ZChEE0XPto05jZ57YA2/ASEzL9
Oqel/ADI/yF1p+4J6CJz46QXT7EQ/oeaCndTjmoI7jvdyaNahiuZIBNNrBlkMQ2/VXf+Rt0DpJff
yANhMk3I84H1+ThJpR/8+ajakJQY+ol9nzQbeqOpuyt1u3HWjccl7gbzsU8bUCEIinalblH2uS0Z
z8EGb3fljCphC+R4/hy3qoLRdu1zmteeJ21t+p8G9nTSaLomCmiJPVt1QRoIGWAkAej26agbqZVp
tKfJs7mrgVZ9VrzebxFgjBfGe59nGXSa2rQgUZlV60U4r4dz7635dnJC68OCVPV2Ubl4LIQ3fJsc
JT8v186vunaBs2tHeGBOe0rKoo7aTn5iZxU/phj6t4VuJlMKqvM0wC6EDsBg2MOh39vGvZSDt+uv
HWmCGb6iV1Xnbs2YoLiL9Zhnw/QWZPShkyr1HsI2dO/VODOiLq59b9OFs4E0oLgD5WWBuBhN49Fh
frD1nXHecbr8zQQU6abtq/pzNtJ/wkbwEo+teVOY8nXQbfhUN+R7OvPCSk45zfCzsbjOp3mGOMQz
t5DQE/diFxtpetuDh763g2a8G315DEZ0xoVvIbc2USURgN0q5zyng8M3ZKdrpQ6E+aS1xoGXn3Hx
9IDBZNJQzQEmklJ8jHPHB53mMSiw4E3ByyvwPZTg1/XYordaZ5cqD+yjHZI9kTgMltkPM+vQmZYK
nX1rPwaJ4z0EIePoRjojL/oaG0yfs70qVrU3fAYpjSzcTTsmL54estSICLZCD16SenH39MeqD6gO
mMtA4yrJVxYZxqEyxxZnKmMzDp7bbZY+TR+whtl7esfLs6nHPoseANHuZIHykuaOFQhGkeqzfjtU
4aM9mAyP6pG4o8Fy2lsbd/VT6rL5iwDXz7vxOn1K9SBq1COpLINwLGPvFKDSPTcFSEvzOsSCcfSa
juknhJFx5LoioKBQU/IytWD+/V4NvHF7+8bT0zFFN37jYJnZe6PHdYBQxSCtqjB0RIE/4jFZ9Kxt
uo7dWj2Bw13J27FEVwyUuSoP7ewEr23IF59aJT/EeePvEWbE+Y7X4XwM8j7bdiUd2iAmXlhJ8ZTG
zMuZnpCUsC5Jf4sT0LE3106R0rvP+boR5XfUnX/dnvqsN19yvWcNrrvX60Y21XtamAvdMYRSvSuv
O16998UJgufruiEu9d4407vknGhtWvnBeDe3wtrGC1OyZaI/UugddqH32ivNDPuF9xuOkhpH1ARY
SFUP+ZCRfle4zRNOvsR7KkPD1gPHkJSBgQkWrSPn1wILVLIPvZpojsmkFiyARt0nvGSTqVRnZnr9
brnGeuQkCz72lAFa88HMql7s5JNfgVfD9EMuSExASKKTQtYYeT1RCemeeL2FgZDrXrqaKcoG6JeB
UM4db+ymHG6V6JZDcM0jcYf+OZ2rG2IKbttgVdsutDpCWZr+N1C25mEaOnkjYCscZBK8UqjNe59u
6+RL5zG/hqK4MEfJq8dUVN6As8U2mYXrSu/1GqjSlDXhKpXlrU+kjIBOKyqmGix5CMzamoQmgu05
IXa8notRGtVvy6R6tFzLem/QOseW3Gbu+GswtM/tuNQFU5lsdGLrUBksbifmDgeA3f5TI8qPIMRU
egvlyo/Pdm2+D3PY3imXQg6DaDeeoL3QQ8NvVewCwsH8J8I5XPNjVvFPct5I7IgPxLSTW5YxqsNt
47bzxzV1GhRsMkj8h8Rquwfefqeh4g06H/+0k/8Pnr6fXTAhtB8PVzYEHfyC/s9esIJiKfZ6szm6
izYkuVnORhY6H5X7Xx+Ibf4Pw/frgULP4Y0AJsH6mR4dSIp5ZjzNsSQI7J19aoUIu+6o1bgMZGdm
AduspFHUoysL7ts/PXoAsxpYRODo9FKdw/SDOtZYBJwT1Rxl3lrP3ozQP+uy5UnUBHoT8cNRvcGn
HjRAzrabvz64+EmbizY4QL9goh0Wvh3+23efc5epUiybYy9aPn2aE5Lr/KKznusc5s7WERpYNDkL
luYE1eMG6vDIHqBO/PKYOEo8//Uf9LODBAu+G9jYR/D8i/9Aq8BbBheXzYwvpXOabdoPbpZaz+BE
+y+hFH8b4fuz8gL5Bgg313JsXD3Uh7SH/nz6CQxY0Or2zbEmruE8pOzXSGLgNjAG8IaY/H9LS+xA
FzyFIzZ+6dnxEqHCSKu73M2hcF+Dw72uduR9JScB6JXu8420RPjKUCLcTUXDneSsdUytTpbjFzj7
dkgXxxnWD5ZnkNfWqYIeMPPHtwFS7ztO43n40NOg7zHACTH3Ue1hWvi8sokstLGVXXpCHB0bvIQN
aMFr4rny7RZsJZQt1on6G3qC+oMdJmzjhq7n51HatG9m5SjSkNgQG/qFabKrhlL8uAIa7vfoRUGH
BwkJlQs/KO+dpiV6UKYCv0BPuvjbtQFSocS8XC/6f9ubf9PetMjF5n78f8ubLl+n9y8/6Jp+/5U/
pP8C6T88esxWjOu1fOlfzU1el//qZmqUhqmbjMhPsUoxIf0/IZPLf3KvtH7cAQF21H/SzRTWT91M
hP6+Pox1TXTDT/PTakYhqqZatvadH/c+TCrHRQQqiM9x1xL+LdKRbqva5gY1VifIKOomBqoJMV1e
UB5Gq+/O4DNG65ObrgX+pFKmt8AGCBPhVaNQsaAdfLUnZ/o0FJXcDgmZKWm7WCoKpwCtTjvk0KY9
moiHcV4E79i+eauneLpfKXEUdKtay5pXMlKwq8t5n1VOwVoDEGoEvj1u/HYZDh7Ro82mTXNVYGsl
w3FrLLZ6cJaFSXiqgjk5ho5Yx60qcuLpxhJsZ7kUxRdSPDpmD+5Ubea5UvcxcDKKPEDX5hY2NAao
XGWFf2oW6aAYF7gbD2zm+K9277bWDf3d5aFL3W45JUaN7aiqFkWkB38gVtl4ZX5ObEplP1pB2zyG
Tp48rXkx3Xf0jekOlNiyUtRZeA+bib6E9I8VcqiODloDeJqERkBbwVggpHSkGlpmINbL0LaDv7bb
Ga7+0B1j4WYj/iwrsf1DQLGQ7H0JWgRnf14xo48KMkgutr9WtYhQthq0SUXDRLJNuhRuvEeDjPCY
LCiNUn1EHeH09hMjYgAkWETaTeBm8aTgS7DPi3dVmclwA65YVvs2wFexIVLO9hKqwzSPkX8vBrlz
EBnnyO0HGzMDymefnSIZD+mWESfJLUezn0V8a8m0jLed00/6xgEktiqyWPcGCjL0HxVslelmGFhk
zQvk2nywJVKpfprx/RWzNffiU4JPw1rfVFYutfwCY49tCvyUdS3jx/8uePWQDcvfLXgOPe2/WvDu
5dekqf8s5GTF0r/yrwWPAErIWsKHhsDIRMcy/j7Nwcv8i8tcRpeLIUUNksw/pjmO94vlaZEmzl3M
ApoZ9IeQ0xG/MMImSgV9J5Mgj6zLfyDkpFj8sZY0XcyoKAotWvEUMqZehP9cThT9uBbzGGYPOci6
PKSTajJUlYTK3Ydx6ziPjtfxlm1A+8l9HIe85DfzlHlREeMKUpfu+pBQgDH7GLJCZ+p9f5LcALIF
3A2Gv5t2qosjCXDm/DCUnfmlMtvZnNmY4oWKpEhR11hsgFBxNKlFPwsgMeFI4EnyGw2S+2YD/SPw
qO+CXw3dbwYQkNz4hdNtmiZhyDP45RNq+/iAnm3d2mFp3hdFRkOxtr1xBOAiK3y1ZStBy9mO8eKb
xq8Bq+62cunn1XZIEzWdslO2rvlZMYTWIZrj5zmHvOqYLfwaWXvpk4SXhoy9UQuKsjUO8feQmbWz
W74xGhjY84QmlO02NOmDdDFYQkLpoiGZvV+zeRpe0J2l+cWlf7jts9a/z6TpzJg9gBRFpadjS/w0
BWkWqpAurzlkywffJYJry5VYPsUL8BLDDFn0iaVKPviOjYKzb5jaRwt//okmUHq7zkp9Ir9JuAfP
UeYpAUmJWbgg88AUEO/3/uBpVR22tY9ESkveF13OzMufsL72tUm0lotzIKriNbgPitkfN3bpcEvk
xI8QWqjSft3maBUlgFt/eUNK0XkPfBOdYFZMldqSaaW2mTnawD7ZC1QQW775EqlNmmCvR5yKpzyx
ydzqspE9beo/dqujyAxI0adZy9A8AsuUN5gzaB5UnXg0SF3c1VPl3cQO+VUbKV3vy4wzb0ve2njx
GSjAeFkaEnw2yYKaeN/BuDljSsmXO7Me0XPdWIUzBy3Ro6SUBTtOBBFvyOrr9gFKKZOHtc6Eg0iF
Fi7aW/ppcjNWPZ0qfPCC6UotgoBXhoA7v61Wzt7j2Cdcq1VM/oeqraE/+4YK29dSToRwuQ02oCUN
sbXAO26IqFHK77dkP/TNTc7+JTx7LXbBClQP4t7SZ19cBktlnCcX9J0umZtLbwTZeSJK9daL6/kd
8DrWoKKfxx0ZFdVyUsmSAkQmY0ZuDHIn0iPNa6s5soMoxWYQUPijedU8OhMBxr5OsuwhU+SIRWk3
kYXYyLjiyY4DXwMqlmzY8tYe56iN22k6r2s2dlvLcOyoSbma23bSHjmzNiSSNKMOkwePTEjY7tVY
+XdEks+XsnfNgyxwcacJClruOMeYohw3xhY6VXYxGgJqeD/GZUpuoOlJNCTB/MkiGPUwhKpLbhyz
f1oVU6rHcDR+M9aw5pnC/kglhE3CvQyN3a978gyrYZ+MS/NJgc520CON6fOKfrg5OHEr6wP/Uo9r
DPJZjqxEywcHkiaKDddjPpaVpeUd6DBb2nscM9drWvkNQ8bLdVBoZ26/fpgKa2qPc5GK5iTjRW2D
1hC3dt+bEHpy6xGgKs8jvZschGPCauaOZo3iqssPq7KDm5xxX4HLwmADo4QeAdl9jWqzlcUhAJS/
K0USM8PjWjV7giuwbNO9fwTOZE57e0wh8Ie5dctsI9zZQc501shaDbBP2cO2K2Y90y4trnPhJPmv
svPz9xy154sty+mtZ+ord7JxHJ41Ktytka/2rhI4+E9IkZ2otEealxjdEnnLD9D+FkbLhMa1vHZB
BBSQMH+Dj9K1mK86vtuaoOZK1GJq9PB+9Z5J9LYnE1T/UzsdjU7qCfZQzcmwaehGEpNQt1Dggjou
n8WS2K8ULh8dbmGwE71iX47exjp6wew/AsllIjvEC03QtDv5GCTNHbBQ0mcMmKCRxsI91XHvXKBO
I+qviFIWdwylENkPq5cfgq6xP3UDIBelJoJ0PBTmW5HFZRBNkzn0GyK+1XhHQSsu6yL6JwL1cljR
vL+SR6GmWFobHKHLuhwr2x98N2f6GSP/6ZAFBBdGyGL/33rq/6uess3wL5PkLl/n/zm+V21PTNDX
H8qq77/5h0jG/MUjDvZfnMXfSyrf+sWFHUpaAIxEbOp6e/mHN8b9BeWVcCmpbPo0gBj/r6TCUcNQ
UpOrgDhpQMc/Kal+7gJqAo6NuZ2BF38FuXI/FlSO4amkCyjnC+2ftldeAdD/Xv9UZP6HVuPPTaDr
QfDzkJnH94TJ/eNBBvIO2zAEnj4WVrfh1bJusTL4UVs4w+6vD0UV+kOzUR/K4bT4uqlpuvZPh2oq
vHp5YjPYnTKe3TLDYGvZKHS0P7JE2HGshDSAXrgObpyl+ZvD/9vpRACFEAqMEU4oxvi6fv0T9scq
V0apntUdEf89W+SSB8xO/vob6o/4wcukD0GQs08vz4PH9lMJLKWxjGYsuqMr5mdk+a/IR5topAGJ
7bzjLv1XP+Q/XDk74H7/+XC6gek61O/4Z01uxD9/IzvpGLdhkT06M6jfpKiAATWhUQEJiiv4lM4L
w/IOXHvC3HNDVm9ebZiMrHJTUUtL6s8Y/yNKk3CTEm53Gmef8SljurCLmIsxQe1xw4M76kSrTakh
c5eQqJ68sn+18vmQTP3wrXYCtA9yMK3XpYcpYywh8cQF9OFL2o3YVlNwGyNt3tcFY/0ZP/KMKcvy
JS+gLqyePbdMPsL6pyoHfPYYJ4S+uAO0cU9X1BNuCDCYQ3IZyUzCgBXG2waEL8B8xknUzuupCJK7
MTd41VXVN4f6vcmc3/DhPw6ScokBU3XDaO1zMlEhh3qmg3ex2hBrs26Ldu0ORedCE8IA4Pb5/BVz
Ni8OoMXt4hHIHmKGdyxUpHMzexel7CIKDS++oUfw6hPodpOnGeSm3m832TR9xUYaPuPxyraLyPPL
GnbJ8+ARtzsGRUTBnWz9RkMR53gCvF/Gu9xU6R2m/WhMqVGJJ8TXkKDu3uGUHRbya5YkPA1BPqp9
1vjhc+cDeEtpZkVkbCNSMvPcvK1bgd+/VrRoX5zaNz6mxSTv4dPzOcSJW8+NKAALMC450pWDs84g
GE8WgY63cdXJO7ZkLrkQhLlVM2YtfCH5Q4cyDzVOLXYoRq39lJXmq9MAxmHwpSIjzazxbcyYcCaR
uYgzgbHJM2StdVdnjcCrgncv7by+2MyZCE+rIeMzkmf52K54YyvZn+Nwsd+6NRiendEujp2Rijuh
bO9YoaRFUeZl+3Go1aGu7LcURzhK9GxMCIS31RGrSvhoekl+INFF3lGZNg9juWytflzu0Ae1SCMI
hdrj7ureGs9Nkk1GlbwRyiVNInTGW9KBAPyvzLkzv2c3ioRvEw8+OhmRfCYDJD3xax8ZfN6gQ9Z9
u/mR4KEXUAt4X6fcODgVES9Djwk2Syfc12MyPxrxLA6WnZlHYbYlovzBOaEm6m6XxkQ2SMJYc4+3
JyCXGTFDsKEyMB/tuFvee6Mxo5KH5jwlucG8wbMOtgKL41G4wFSqkK8VcedvO7PjaAmSQ54Xw6Ci
JqtlH7fpcqOMIH4LYPBQ8yfhIYnj+VbhNojQAuHtJSv7gAWLWJ+iMjaWQ9nlxKPC/0WWg40C72a1
UnFWaEX3ce6FwNmbPKoKwiwwybzbsf0xJE0X+vhgPlH8m0drsj/7XFcDd9KHQhfPwudM29l6MzjN
GE0xSmsa99BWCQ7YdoHQFPP8zui79hEXcrmtu/VLRuBXwEy/QEgfJ9MpNnCOEKX1qJZxD3csOWK8
YosB2euwAlun/e91L1IYfsXyNBtbBBDNHgCu/d5PpDY0aevterXv2sR+dl3sY1AbZX2q/al/IAfc
fmfdDk5ZNdsHQnjKCAMFWUwpme24k9r1EpfFoOdf7YJdJSCPm6yTk1AhfUbLfZMNNgJMtcZmxnwd
lW2MqNpMmSzUh5QXwKaa4FpskgSpXElk+6WvglM5WS9FldKbiEUdJYG8cWSAUR4L6DYujOAuiYuv
sQrzaO36nT9aCCNNp6W/ak/3rdNX4cbF5bRlSfDusyVX59Aj6MOrLHm0g6zYNvM6f6K6JfGY0ERW
khAxPZ0AHqCNUSsNCTHKj2LuTPzbq4PyPPe2+GRFJBhzY4NzS/uAunvA9sL9JZSnvtCABfYKponT
XEeF9PNXN3VhY4ZZU0ZoBEfkMSTn5Q6rRxl0NLFJfz4TiTN37ALXidlxYBwFlU3Udf5vvrAp6aeQ
697Fbk72dOA/l70Sh9rNqp20iNnzpyU7ssPWiaZhehxJYsG6O7pHd3Ddey8TxTE1kuRz4O6qJFsO
5ZJqTXuqXgQr19aiPbbnJJXPNplrkWuiDtoYQ2GxafN2HvLIjyS5Op8V7ZMLss/1I8ajbVNkM4Tr
VsrLKNphjyieO2/x8yNcZiQBHjcZL89vDOItCBqS0KUk7k+8H2eMkzZrRqcAQd8OoqKhvbXKfvxe
V/x3SvR3TVNafn/ZNL00ckj/J3qXTZnV7z9W+ddf/aPKdxG1w8cFqa6rek8Xf79X+gHIJ/DskBQE
dRSgUMrsP6Tw3i9wKIUd0M60v+vd/2ie2vYv/KhgeMzc+jt56h80T6l+fyrlmGBZNt1BFwOQMPG8
/FjK+ZplIss+J4FFj9wFRkB/u/aJDhWZZKh2w0SsL9mDfuqdYmshw6TGfBiwoPYwF6zZ0wSUVWHz
bNwm6Y5G2YhZ6n5pha0ptfsvVUamEFkcDomMKKZ55J3T4IxMaBeL12TZIsWdMsEyOGMwKUnJhXRW
reS3hKSKvdHuat9ac2VoOyHLIROeTtZZoGt8J+aI4S/E2Tpq6sTzIAwypTlY5AvJXV/oOe9kxwip
izxbHqxuCF9HcAUW5mStmx36QD1dddRVJtTTNTUrLrSU2W6VL1HC1LAAG1c2wY0XMgzvA6a+pQ45
hUQHMBDHGCqJFrH+w1IqrdAdWWUwxzh0DS0rkUeTqfszQGP33bfgwDaNMR7tKbVJlUQyW9sMfpFX
Ifn1ql5cEgsu3ab1kSLnnqaqd13GNNkP8x5wDpyiL2QXcQZqp7GeMyghb7zETWLXbMmPoQxobpHR
u+9Lwu/xrucPYEOgBY8lRzPtBLZIrHt5IyJb1O+h4ls7BccMCkbZJcnJoGZLF3XzOJs2Urasuq1T
P73YBHOegykWG5Kj1F0eZxMtp7A41RnMp41/1WlD+daKc7LlPDo7Fmf4+wVFPlLIbZKhUrdGfYWp
7NQDl7TvP8H+hqk1a98woz0q/C1ysCJ7NABxtziqcj6lnVL+N+ghIEduOXJe5lzHZaeoWIHuLMCE
QAf5SXZgfOROx1a/8j5Kr3fsfVmtRoPGYv2WxuDONuZUh69LOT8Na+9i4Eo9OklxFgMh6vNHnwmZ
Q5BbBwVUVAgyHG5Alc76rq240QvaTPF+aRM+aY21lJTIDv62VIvxB5OBZcqizd5mmLgbLImGCSzE
gIY4XNAOBI6grVT6Ph28Num5+QyL5OYYcGC78WfSIzHOzMnOHFpxSeeOh9APFRe4wb2LpyDUWu4C
ViU62jxkilCEJY6DiVsUFg2P5bmh0+8crx1Bg7Aq5NUIQSnh1xGZfVXE6sk2dRZYPdPA2MSCTCal
HA5Zr1ocPun7ZGEU+zbqSxTYg32qXEQSgUC+iT/OzA7Ac8OdD0T4sExTuGsd0b7JNo9fr7dwZvic
3wIVeqMfdo2yeYu9ST0hYOeUzBbTVkWTC/CyxXyVIL1if7W12FbIiRsIYbRxdgXcMKNvItmrPf71
9ZEg0Tkj+hprMH4JbCJMIpFjiKx7A6kBIB9wBnXriMMDI238apAxamxaNJLNJu8AZpbS5+GEkY9L
hE3MoUxd/JJzVvF1TMJ9vjf1OnPhp+iMcIPBHiYaoUChs4u1pWKyyOdbSFJAXEIP5uRjEkHhW4bn
tdOaHcYd3BJIOFCIlEYgg2j0+9R+yLsJR4EhIaiRmrOGW7Ns/aPnSnNvlkRruR3zFBsUlARbX/B9
bVAA837t6QnvQh4KGjAScBejH1asyoKI9bT0CmqfNh5koDwONlSsJ/zHzimoCzqt5LHxOVdbRFGw
dcsHlgyTHsHz4LYjZxBZylPLjZ5trLTo3gq0tRBc+4QkDLQ/vs097xXauBGkuIM/9GHoOkc1Eixo
r3xhxXQKpH9ocaGIpRLPsbmiwUka31U7G1VdelPFRCTlRKsfRoIt1miauUplFmt5l8XSLOKFe4qQ
eG7wBcpGF8keMZg5hzzhqsaP08Eafs7hFIM4kxU+iIrY12IvejQ+jbbJzCHm681VHpNpv05VUXKz
ayEAYDeF+s7xRdksEPckH29RPX3BBZAdstTl7r5mUHlYqmTmivzWgTZ1BIiGc+h6zzsWcKTIHPjO
kdXp+x9XvriM2RS+IlD1+Z6mfo1M+GEGOIIuvhKmCaxvsh8YF6S2vh9D7R1puyB8RYHJhfy+pOW9
yKpt68/cSlAl5HjKg74DMkazQO5aYYgHx+PpIrWW4hwabUyrXO2vT1w1Bc4rMBIFFLtzZbq/rqxN
g2jof9k7k+W4kXRLv0pb7yGDY0ab3U3MEZyDg4YNjBIlzA44ZvjT9wdKWZliZik7e52LGu61YkYw
iPDhP+d8Zz9S2P0kUlvKp5GCjvy9O9qsE4WzrFJioGvOWQJAIbC/bdar8k4kVHUEsXyRyRQem3qZ
oAfKXDbnaCmSo4dYXI8aNQhUiMk3OKiCGsoBYHBBG9eczAeWH0pDNiLuOUJg2uP+T8uaDi9K2eKu
t/wIaazh5lzc6az4mpmUGQXrojPiJ7bS5kB/X8mfSJqLr6qfWGv5ThKpZolByhstZtkwtLyXSpZP
VSyaE66SHrVihv/EOcRuHug/OFbhshG1S/4OBay+YI8JbgVz+IjvLkm9RtnpSgnRXbtLjq+Fkrce
lmxf6itifiT2Pinm9YZVKawOZAGbzl+bfsZ3AB3t1WvZYbtsk76+8LOQy86tufgyw7B7L1W/I2pE
vszzw1syxqsMQ2f0au2cPcgG7BNV6UVHGIclqyoADXi9Ht5ZfDeb2qy5QXiWlmAV4MatPOVkUKit
8iCEQlFOnTpYU4eCK1taqAM+ra5mP40nouZ5vjb8ETaHJbmL72YPjgrymZEii1I+gXsc0MRFZzv6
JkBkPtHOyTaXTgprikH4jzK7R0cM1ZUBD+wm1Xlw8q2Ip1dQVeklAaRFemjJ99UTCgO62EVDXv3K
t3HUrRBXpufCqTIaKMtHJyNpfkmyzLlTeQJ7u2tHYlO4gHbBYA/fqIsKPyfwkVbtSJ+75iHbKtdP
N0Ez49g2svBgLubmeQLbUgY1hD7HySijsdvsKmgSpFA+L+8l6wK50/0YsY+nJn3s42NIH9kup2pk
70fjJwKXi3XV/xyracaMPsuNKJS1s3MCLVbnNncQGOiOCCU556mcviCSPxgZGiK+v/YqSBN9V2rE
7MrvS4BDhrOPQmLndQjFP1btg0LZy1aNx8lo25aQkjqN9JPnJeeTkThHzLnh1JfUw1vkPA9uWLXH
POydy8rW5poPTWJRVO79RA51NSkVbI2QopqMFYuhdJnfOipjYBecDJ2LGzYBSD7OIOkINLxj0djz
XVwB8QESdLCMttkDCeLMOtdoW1T3grDnD9ams/GxZfK94YIZwnFcYlKltemkNM95s5jvsZM/AhM1
LueS6qSVEfj83MjZ9XM3FMyAIqw5p26Sak9Eo/pAxTkJQ6TSgUtraeUPVhMFB3+0jWvTU7TuYlTb
5IGzI+c/77IqL8El+v4zsPYPk6FyOqj9gjFv07QEFnhs4ArAGZl11+9NOmrXbpAzPwNCu9HMZvdR
nHTHQbovdRKDeOrEuBa1uZSCSnGcs8Z+jhqzVlTqtPgFKmvL6brhJJiacjPnZr7tGFM/RIoVhZW/
AQVUoYMbqeVjX4LzWiZM7lqLeYVLEnC8hH3IHK5GVoT00npBw2fXueZ5GPNCbGO3aGbO4gqP0zmN
BIDbRYOHwKrbIX5h8Y93hEwUCAmYWpExSJIX9Kc3qyq2oz2WBYOFqUk9SBn9+GRwp6frzYssj/pJ
kWyauuMGkqgtqZnqKm35XqR2Nz5B5imO2puptGxoINfohVsw9vyfmQ8eDyPb4xhPsN+FXVaOcUqZ
Xg8WC2mZhl9onosvY1VeEzNq3xtJ2F/AiLzychJCbF7RfUk4EnIVRAwKhMKoO+VKzen71qt781jm
XtidDCW01R9YtcKdHdq9AsAiFtJEzMUNv1gXjpxmGd5TCpBWwceIhufmEGXZWM8s37MJtMwF78ic
hwCmdtdW4RjmKm4NE9oPBJXe/gi3k13XAidB09RrAbY/Rm55ocyG/z8jPtRQ0y0JZw6NFTZbt+cM
Cs+U05Yc4SEAYXHYm5YU43wyhZ7IeZHZ5SwK+kKNHMuZQv6dkftPzSmh4D4PtNnzAuGRVHsj7PiD
WaNmqORQe7Ak2fk4CvZUdWAChMKfIpbfw+sNnONcsYtuqBBo89PgWMO5d4awJfs1hk+AFjm8I6Sw
TYuOU/WruTl2NKeJNCYmubB/OFIsV08ZmkUDXj7i8pb7DYLwzJzi5fsZmcHidO5JxvKZzPVEYGXJ
Jw6Znm6XbeU5lTmMc/IiAD1IVHEg+7Us9No08EcRKhQLS89dPO2m6WMX+3mUMIQASGxmsgcZDVB8
w3nqIfl7tDGt6FVz1VoST9x6U6uecYDOZ9Vx6VYJl9IUo/+5xDT5N+/ojTPWWf5AeHUxrTlIpuwn
P78jw1WG7tkA8fkbnH88hM1zx2zlqWVW0a4CY7nHEdxpXxys+kc8I0ufIViLvWjYW9ZtWy+XCU7o
v35jf0o/CLCD9CYxerF8BjBvBFYklwKibpodoirkD1pWlT291w4NuR+cWZNTd8qQc2wlGb7SorVU
BP/6DfzF34rYheADQsCzeReLZvkHTZIKalFpq4sP7hTiAI0krcGbPhSRdS2MNom5pkT1njBzEtOr
Fmm5rb02uo5lJx4CsxfXSDLcR379rv7iY2HIb+Pj85iIEWH6+U1Ju48qaMrxQRpcGtTEuZE6m4rb
zDK8XXepxZm5L/F1bIwh/rtQyOvX9efnFwwkSjT/4vKGs/vNy0Nv6eWAadedCy7RmVAzU1wce2XG
H4Q2HOqM7TGwH3I/Mo5iubhJpyAbPziqtm4cbx5yvTLzLk4O3TJ7qVUss29t5HL7lTZb9K8/Luut
DMvj7VsYKKFYMkKkJuXnN5wIeDTgcIy9ndA2C0ZGywSAznLVkRPLBQt/eAlqaTDupaUXlESZsA7M
aa/vp9BjeYptwe3E1QSNwCnwX1md+HfC+3O8fR0P2daSQBkbKhQv+7GP00MVMwFb02E4xNt4IEGu
55JXdy3yaBvY8ozxAy4EL6+/7L+T6L+ZRINCWfAk/9Hn/9RV8D5tqbdv058cvD9+6scQOvDeoXVY
LhxWTBDfPSU/htCh9Y5BM0bdkPkzlRLLfPo3u4n/zmRtcJY5tGPh1uVtYEbskv/534Qb+Kr43IJI
cBFk4h3+gyH0z+YFjBE4V1zbJA7EP23pK/35MbaECY/eTbwLwsbNoSnFdOsKuTxXM5tU14A/+cMH
9BcGhr96QR+xbTGFEOIQbxa/nN+6turSvYDSHGxeb8U6ZNzlISYdYkBg37M2X6b/E3+t/uL1fp6x
f/8F+ZryeXHeAojzZmEJM2bleDcA+leJ95yFvICdZeKhdSnO/vWv9vMS+vpS/Kn5W7s0QJCuevOr
NckInyYXzkVejnzV/YwJcKe5x+PbFNed1uGTn2fiulkWpV+/9F/8ljxJLk8DRxHMLm/+jKMC5GQa
jXPRWtARZFBzJEJDDjblELNg/PrFxGIx+X2xfv1FeQJFiN2RNsDgLcJnqgqwvVPqXIyVxwvRmsMU
acxMdu2h8xllApSvmUFNE+vZ3CCVf3AESPLNVKTG2lxmpb9+R3/+9T3cUh4SroBS9Kc9PRPMl4s4
cqCJwzila56hnGnk/Nv/32uRKcJMxCPMg/PmgYoh8RbJPDt4ORnT9Y7RvoA65fSXWX+3Ky4PzM+f
MzUmqFOY0kzUqLdZvbSrG7yrvXMxRMm379gOi4a/f/7ZsQhRY8WLsUq9eWrNgYB8x7XgQi+D4ywY
OKsHHkBIoZdp6K9fTCyfzttfaTl3WRwL+Qjf1vMFkS0GbQj7IrMoBdrYA68pIoNB4itrJFC5+8xm
zpc0DblIJMzAaU2yj3/zNv78BMMaYdlb+l7Ig749BEYWWdvIy52LKeisk41Jm/FfhOpVGy1PKBal
cpvnFpeDWTMH3bx+eXF1MFMN2+bw63fzV0/vkmlD3uAv7b8tvcyL0EPCq/nyMjw5g+gakdl6BvTM
Drb//KWITmIVgo5gW2+fqKkOmqrxlX2Runy84SujidwSS32wwGt+/WI/L/Us35DkyRrTNI3X7c+P
b510VaFUbZyieRkvGkZTf5Q2msSr/jbIZTj761cUPy/By0typCby4nk8zUs05eftjIuVYzEJCU8m
ZNQ90Sxub22D2IMyNJ0pw+DvarvcyuBPcvVZrnjlRC2jb8h63ODbVwet2P5eV5DOydFpZm1xwooS
g1tkKrAm/Potu69b7O9fCZeNH8cnLDTI6hg//+QfJF6WORM8zVNbmOXO1IneValn7GLR5v2qMonE
xesCbEkFWSbDobYV/MPusJ0gP2HZX7QkSu7SdeTG3Yu2y+5lQhkAbp5ovleLrJlszCYTA6OARZCE
3Og8qwQ1gyZcZNKMH2sWPccH0NIAtkBnGBd1uIOCfRHEjn1qMj5Aym2z+TZOC6PZElVCdNOJkdEX
FylxEC1tJKsW8XfclCE3TySfNLJXMUQYzPJS8RoBn7TXJkT+FBrPyuHAm6yAR0PySiqekFc5awZ8
qPdGRDfvaayXaXEXM5GeG8EBG1ho95Jnhfro1/DiT6VYkuMBpxbD6gw0Gg7M6SeBW0WvfG17XLdH
gj1PqiDHLrvce87TRQ5xIJI8zyJEVn7NgXvD4D6TV7S+1EiLh0H56tx4XQlwBuKOn8aMlcEmDYSX
yICUazGjkNAuwZd0gi3l4OdZ2xOqzqucOTtWuo9s5PdXMcKoLJSf1+FACMHnDKZGP1mD2758F6vJ
6oEQm5r2JadF1Fp5NhKLbiNQLgFj26e+XqYURjTbxzAioLgqM6QZveiUTm+SlH/d5SQ79a5uPWpF
5zJpsgO+fMa9s+/zZDtIrTNo11n7p2Q5mDBxnW5f7ygmYKdzXs2EngvTQD2GCSquVap4agCRIJ57
i9oEep0eGmB9s1xjKPO9U72slwZxlXbfOgNOIMaZvBnb9XOMPR37oldR58QTHHOhKRnNXSdGyZV7
fh0mRVWwSKyzs2h3OZkOypsoHGRoYjAjQBEjm91Rkw5nGr1aLH7TDjg6OkzBvrzqpIsoVNuxvtI+
zOc1mo77PFTKffaSnhF3S+tSARRGNNy0tHXQGqrNxoo955McBvkQ6HS+KhSsZNVOuBfxSokAEqjZ
nFK6YuDsLFi2tpgmwHG66tHGI+8BGTyl2txD6Fth9J+v8ZKbF6WTUBZd5mG4JvwB4Zx2ARAsen7I
6d+Dw5LUNTicOeVkBJyV8Xsr77q6DQDCRH35FQ25+xY4ujq6lt9fh56LvQMcELN00qv1uNYFCxfQ
UDghnTHXHzzGfO2udWfvy6R9sWmZLFMCZjbxDviCj+e1ryHQZJXcD1VfXYfZwASXAVTyKbap//Er
0rCkvqBnyDm6IOvjq33Qjt5Hqm1p+JO1/oRntzrZTgnKfhod/QmwRr51XUuvWzHwZwwil4bufJSf
qFrxu40c4NDA/PH3y2GUae2EbrdpmtLYKs6AuCUtCpkCWD4sTKjg2CPPPTDho8xVfcyapN3Nbj9/
xQw8bjEdGHdA1coPaT7gEpglfZ8yZU6vWoTFvHn2O6JFQUr1TES0ad0PjdiVUFUzTHbXtISbLP92
xIw/b2ygwJ5f2LTY5AuBnoYpWJdxtfzl6/GSk25wgPo2uxuZUhvqRBS5UnOA6xjaD+hqoCBIZoAP
NXrE1iqr/rEGvFivB9nu+qWAVybml8Jvqw9M0K1VGopp1xoRFuiC98Fot7xjV0Jl0Czvl55Dv1Qd
m/xF/djKLrH4ylukzvqWPk4eaoP5TPc8R0j4hpXxlWiXMca2qjsru/ju87DsiUEDq233EjcmCxKS
n3j4ro6bHRpp4/cMcIJ+cs1tnia0qXWU+hB+QYbXa8s1qo8RRr7bV7uFP4Pe6CDhBwBvXOzhheXg
IWgKvgCmmOp2T7UnSxCrMQezumK1nbhHtW3GEc6jx+JhqB2++j1J7oMzOdmE9SXHOFTz2C4IWuZ9
eSGLj+h7Mee5pKf81q7oacPK09blJ7S0oP4214Ozaok7w+YB6riVmTN+LYNREY/ODfc9cThU0iRs
D8jKaEhyilMKDESWfG6H7jmrXVjAThqTBwf61X4oqDEw7lNdV/YhsJLgemiydO0RQdgm40gkAHLF
jvLt+lGHcemvQt8ZHwd84mcvrr8RHfgwWY64wRjaHVhXfeqXw6bfOqDGXuIuiV+oQBvv497nL8c3
PtuqIY9DjPf+SANrkmJuVUXrnwgo0dQ6jUVdrlsAGDNWJaDEByJr5oWjqvlKtQRfPT2lpBPLvKdO
g78CKSLmCU/AGJGsJtEVV3i9nRuYjcWNEk5/LtMA2Z6w+BdnMIotXGz7cxV6OJTpsVukbSv1Vm1g
Y1VhXA8MXY+A8FTBchFGLkp94Jzmcfgc1cZ4P3YxNXB9b141BPo/5aNH5VsDtIm9cokwKqhD1yHl
xVcNGYeTEY7EWpMhbp+tdKyph6W+QYLquWBab0Qrp2vLZi9Y8kDpyR5xTFhWhJoa+SDFC2k/MJuG
4SZtfV+nSXRpzr2+6xLsbhjmx4990SkQ8m3rpKcpnSYX7ds0qJWKxiC/9iZzrPdUe7UHbrnGZebr
6tFMkSfWBuIL4QXDN/NDz8NzPbLDfxODaq/6uh72ExvhBayXstjUWNxwwQquFwmL256edIGjjJOF
sY4Hf7iLrQFzrcwit+a5LJqP+dRR2j0XLnVoFsuobc60jSr8djj2yqaP6MWorKvOp09pNUN8CLZB
4TssiGL8Wlk0su9CQ2nyenhFHEdZW7vw4Dj2fnpuS6EeezG3TwFQyu0w0cmlMzjUue9R+EgmeOk3
yPyNXY8+cgU+9hezJDMBwX4e1oheabFx+KhuB809hT4pv4HFFqU3lgmv1mxG48pNO8D9qa3sXWDY
jb+StXR3BBncEU95Grb7nmf3G/nK6X2NAenL6Eb+y+gRiduZtYek0NJby7yyKnyqAgP8sUhiCqxu
ouf+4Hf1NzeZ4tuWsAi7XNp2J5uyt4qctVSU26RqXjn4hdbkiZsboxizrWV6lDiGMWf2WOOjwbZY
+cQ7ewipF3lPE5bh+MOHBK8aqNdYZzfgKn2TfmVZ3EgsWDQYk4i+S5A/1uzZrXAO9BQUU/80JYyx
ne832H9noX8zC7W4mjAa+O+z0O+u3M1zXnVvPbnLD/4Yh4a4axl0LoIdB0EuhuTFfoxDhelQ3kqt
q/n7pPS3cehreetSPeUtd3Yaqn4fh7rv6HLBPMuPMTtEO/gn41DH/zmvxmyL3LvP7YXYt8to/21e
DS85Z+jJty417INY7yH6zx3xI8ukLKi9MjoH210JemQ1EClWKwzD+iNOQo9wTioO7VAbl+BICFkr
o9zFFAMRxdDtVRXLQ9LY/YlTL4Bb7vwXFdU/9zQ9kN+SMfmPNFjKRkvvnsL46TGjVkNiqiV2ImpV
rco2U2uPIlAOb1rsLOypkrUyAsiqQlqp+JkVZScUGCdXnk0C3gqpxElUdDfSNUHUfbPIdCuaY8VB
tbXNkId4kl94J+EQSAA1R+pavfTcETc9pw7y7U22bmw5X0VkfrfUEW1wn3xJDPjb7GvGFplZ7Dhz
6L3Lvr6SsbUH4iLfh/OQbds6Tzea2H4xNTcN1UtbBL/uubE6fKF+iS3LrckxlB6vX9IRwSfl4I8I
wsMMhvrsx0lFRbPQGEpZ1SnnWBoeiQqD0r5p5tAkfpXrLYM+sUKPRsQ1a3ubEEDE68rKPJb9BFq8
aE84U64SgQ6ORn8OzXJp4vL3YdkfameJAxUUkHDQpE4KW83GikxE4IwYQTI/ud0wM9Fcfok67zYd
RY6bYu7ZFymiIP3Qfy5bsm7TRNiMPfKC4/m8tiGrVgtBNi1qqkmU3ADpNlYpk5+Vcr1DGIWnjmzQ
Osgt8mM6Mp5mG7MV9hqX5kV6KO1+mnaWw1HCGMjpW+hyD35GNW0rgmHj+6MClyho9moNPBST6Wwk
YsHKDeI98WrA3Mz6t6HIPtUTQyVl0Espo5JDn602fQvpzsbgkdg9Jx6FhaMojG2eqYeq9Z6CSV9m
1ggxc/CcnSGx+AiOrHu/Lp+1m33KVOfsFwABLuBRbkmcGCdlhV8dHKwbzp2cKpitk+9YeRzbVkET
34VVRlIn5pCMEYQeqJhbZABEwGHcsaJ166isTHyaHS2Im7QXk5F/1jNlOLQMAGFMs/ngSgykWkuy
U1RGrFOZqY0f184h0dTMOMk8rXFyqg19Kx+MtiOH6E/RBmLkAN1gVnvyPM62Yv6280D67CI7e2ws
L76SZlLu7OBzHLbmaYq56Lu1ZzxwvYTiTk4dEHuRpudygMoriaxjwUrmfU2/7YMpJ8QLP8zPmpDm
pm31Vds1xY563HFLWaW305xDNi5b71ZOIl51lmHepl6jwT9xPUb548pCFcWGCSc5Jz/zjgJLz5pg
FN1AYFI7d4D5bpg02mNQfqQ1iU+R8enGwuq19uJwhPxLMZnpUoNO74n5OEfUkXaGoKUIVPUOtK1P
EbrGNa5zeZ8b9nwb4Sw5Caxh7gpjBdiQ0aBKhN6lcYPvy1v3UK+39tzmO95qf8lUzOZ/aNDOnhb7
KveuMcJ9TsnRrDOJM4YxCQAjJM6Nr/k8a1zdBz8pMk4Y5jfgaVzex8o91QOn0czr7s0gPaLyeqcA
BMbKadyzF2WKey3h/wR+w0qPhbdxmFswtQq/UCF7TrH345S+LXougGaWiv2cGl9LR8+7oqH4tvOp
DOB/3/pyP3pU/khHyp0fG82avGG9mSMk0QQaDpUA6bOq6Fmle+6+JUF38Dmuw/j2l1QXtUHCDOat
lVbcWaXikYq95mq2/F1fWs+hoikoSDObPp7WvY+sJF6XPhhteCImXzW6VtXXocWu6Os5unabjJxZ
QV9yFBTAMQuLLrqZm9zc5ZCnwjI4JHCDq8L65HntZRY72bF1p6dgbH3MK5TcFLPtHXszlQ9hOLwv
QHdtYH9+9bi4ELEjfTrGxYMl+gvf6ZrrOrBOaUXA1YWQgccdhq3Z3BZJJDeRTVtHpNS3pulNoq1Q
UVzdw7lwevqaqSrZKrquLnHlN3uowwGJYQpxCwLArU0DzByED7MzH+B4igtgCf1usGa16wIKRqaA
V5RLYdjgpLctXaGZYBOajIgiuJGYWS7iYkdFDX1HpXu/JAM28DPSi1m1x7hRcBYH26DNpbfglbO9
QEvzPhb59GGMek6Ts/9S9RZRg7hIdr3VjftJTsxFZYTRrBzCGzq6bs2Y06ICq8kbH69q1UbrzqU9
vYzOjBQrQGvpblLMbFjQiqNIjPd9WGcrRZO2ndZE/kA0H4NBN6w1abOdkQUOrL/pKcENvI+5vGzH
gIxD3wTlij5i6tS17e6449k7eKzMepxa7GM/ew/WyCXzGjzMXXvR5mBX8Z5+s43aP3H3jRbbHbT9
2hM7t/KByDileQqo+KIwiZ1cs6ruGuxnmzGYtS0/F3gEukcn7Whz4Jk1VCgPE/kGyDPc/YNqfOqw
+vhLtavXZsVK8fSVwU3kNuFIoAEQ0vIlI/3NQOqgrCodxNqvPSt6tHscEWRYZ/DvQbx124rVOyd9
W4/MPaQVuWfGPr7XfKy4emp5apBp/JBTf0DMn/sQKl5ScHdodNNcvZ4Z/z1e/93xmgwYDqr/fry+
/SrlUrv+/Kb4FQ12+cHfIm8OLArCZL4X+GjB/Lf/HK8D851L5SuqLRpDiPZm/e42sOCFAWQ1gXgJ
6BMuh+IfbgOKYbCVEaJjiG4TX/lnboPvYsYfxY7AR+lCO8ZxAJLh1V7xR+9TQU+ULmuTTd2X+byB
2gW8xS2WFvuI7uYlcMHYm5o9AHlj56mQsXvTHJ2gEuZOq2ZEb2BMHXL86wp3k3DwMejPivtNE36p
hy66GT1vvihnYXIZxtC+0iVq2Ko04ClnYgYg7RWcuwwbpumWxRobtpVEuKHxfyI7CKt6IioCPypT
yTXmH3PrG1o/RpaBhd0h3LZtQrPOtiS51D3RqkkekAsVp4HJ9J91ZnvEZgVHNlombY9RcR3mGw6j
FH0mEsS9Tr8aQsRfRm2kVxM/88Gdq6zfhEboXCZlEWU4dVsTMqMdwnHv3RhvrUFPG1ax4mKwQ8qe
qqS7GsaWi0GU6XVkRjQcVt0wbZE62G0oBxnWLh/KeprGfgVRl/xACZp6FdaRSc7ItR+Dho+ZODXG
4N5KzJOktGMrmTRw+FDx1gr55KksE6dRh+VtZ9jejpax8s7URXWb9UFzkxAesUBXU2RP+hIKVaCj
dT4m/s7Co0gLX1Be0WgVm1sokmMCXhlI0Vq65nuQmt1lXzkfWgSre0HQONgHTcS03iIHxRwdbsJe
Nr39RNGltSMPHexJlWTTetBRdIX7DdKCbebUdEl95bpDe/a9Ksi2nhe5J5tK828wn+TWKcXZH24X
JOSmHR21B+l169BIWC3UK3sx2/UfBYGyR/It083QZi7WAVARbdCt3TKntTxBArLlVJywCkaXbBzy
zjU754qw8vt0dKidq8x8M3v9vJNgL+/n3lVbz3DLw2iWVHEIJs55lp2jXpk3vdH6m4jE1zH2qn2e
2cG2dNjPk57u3UhXJb1GQxUdMqZzO2qL82/YWb+IKDR2kJiiapV0hTjzkKOzTZM6tlqUYOlCSjKA
nCDWWA6nXveu4mlbczi9YMKerMpAeTTVth80WdCVBoW7S9BIV+5MYenYggCLe+gUohcp9JDE+IA5
MD7WRUJPMbzxqxkT7sknILPJjGTeNgCPiLQ0xBIHxXPDYzuuJm+29vUMzaKXSbrJTASxNfMidxsI
vC7z2LmrIU6dKt57Tkn502MQFVO6g5QycrByhXa8fpPhn0mC8wie36vXsxEG/b1l5e5473L6hg/j
Em0QT8LhWaC8IksvvMb07wi+RMn7ydG0E/bg9e2dDCvUooK4Gq8/pNdwZaz3IYNrc1VkohnWDaci
EB+iMtwPsA9kdhyrJQZYVDrjtyE35ch9g6N9uB/S1BnvOzAUDAHj2Mjsa1SxIfuY59QxSAofX+sg
E5dqyLn2Qr0Z2qUxkscsjj+iT8aMyxIB4C03qpLHk6usuZ1mLZhgi9cGymCc/ZjyYQlaTpV2l8eH
uQucj+D7x+6Ln4ci9z7yGYXAq4q+q05pJ23SJTKCl8h/eFF+zKiYNUDPmX0XPci896CnKXCOa6tr
rIgvlpi+Wwn+3an/ZqfGnLrYDv77Tn2/+PT+158HYT9+8PdBGIfSV8+W7QLzWZwwfxyEsdXikIHU
+T23/tsgjGmXg7Qe2DbGP1wD/9moF1tgsGzUno011RRYH/6BLRDM8k9GHRfjBts+8XgBmZiRm1j8
r38wKYcolF0UKePCccRwB46o3GpubMey0PnWr/uW4s/BOjO/HvZBRWulGObwGAj6tEn5jQ8zFEYs
UvDfCOgFTKVMxHMmRnJNRA08iSeTLW7dc1zbEBcomIgc2lIdh+xcn9+OlkPvxxgTvcrxCAiC7kB+
nRCWz4KmcHJAJsoprPtO0n9W15a/1nZcXjvj0D5IOySCgz64mfumeDENiJeB/Qi07Ztdd2rlRz3S
4tydM3AvezW6jlzZWV+e00z3JyYwsFt8Qhukg8p8P9iaFa2QVHuPnn8s4wlgX6Y7aB50/3YtlUtZ
XmlvE/NxUrxDsw45njnaDNME4goVlFE4rePzQROo2Jq1EzH7Uu6l2QQHSILn2oQUheQvrsqc6pBo
KjfZRAomxpq0zZNFRVJBtOtIqq15YKptIAVtynE+roBurMHCULBJ//OFxrCy813Dh3qaeWs491CU
HL/eTRDmuTxI+FicC9AF80LfKyrAN+OcPIXo3I9j6XrHiUn7Rykqa5W0iqDsbFfRdd3MFq05VZI2
nLoA9pgXg4yQbWRj53m/TccqML7ADUDgXJHBMDR7V5uRaZFVq9fMJ/BOGKQ5u1WHYH5Wtgyuw5iY
HBcrxfrVABca9yXnvINFgHXvl1LKVYp7/mYqZXemX8XswJwa9FlSQdbaw6qLU/cSEdhcZ2JCzjNy
baCDDGFZrLLeya+NObVrg7TGNDHDBZq43FSqHxeX/Ps9hn/Qcqupv99x/Eh2y41nuf00329CYUuR
ExejpqvoOLmLQHDvpaoCP76BBz0M4y6MWHD1nr62pjuHkK1n73E0+9a8N8Dsc7cywqwoQyZfnACt
HSa/ANoyVR+Va05XY0pWRCG/RBKqSmGK98Q7pztaSWE0z5kkNcdIOaOl04hBogKni9ZGD52L1PFg
PCW5CwTG0n45rzqvnK5y6h2DlQzVi6tjBStSWdFZFolRr1lJuG7TSZg8RTCuy2sjmy2xLqFF3uhh
9IYdgM0xWvfATCVTOSk5AIvkQNW7sU01icM1M5L5vokSRj620Uzv83SpaHGVZ39SiWNtiriMb1Qy
qxtPpcEWdEW99hIhxz1vAOil2S74FsXehzR1SLEY3HptI5+Y+xDn8lE0uR3PZNZX3GKaI5XJ0TEJ
yG0GtW+Ax2wxfzArAIpOQJduMpN8KX9ypmmrzLW7mYTtgvQx2+7cD768VUEd733lrBLqS24wQMQP
UVFPF1RHWS73/1h//Pfq+v8CZbTxUbIP/fcN8YGr69e2/fr1j6iWHz/1m0tevIPRQhznx6b2m0Pe
fMeahB6zXGnt79fZHzuh7b0j+YXRxrFMekuX/e4/d1bnHRvkQr8OgbgsG+U/2Qodn+v0Hzyr0ANx
6LMLOqawPWzkbz2rPqWKRjK68mhQRyzq/eBH3LCoqxpHfEglpmQ2KN8aL7slz1i2at6IJeMISsQ/
qNJJV5EbteXWcn1ME0sucloSkt6SlYxjDw7c2EBXjb3pA+sVhQGz7drP1JmLo7VkLvsQeZasFm3j
qLG9rElm2sAC3JTSbEQchRhMgpN0Yg8WAmMdfkMCnjqc2p2bKOALMuCel4G7dWoVQG5pyyP2EILM
qbfrW9/f4Bkx10OWxjdiyZXKOWW6mNiETYfW4b7BSbL6kIhe7a3B0CfEcCKq4My8z+B/Ca5OryHW
Ep2IJqy5e8zJCV9OmTbP/dhYG1n4d0MvwiszQ4MISmBORdISo7RzkHg+9oA8VRHHA7PZA4qQhzF1
UAPI2lZ15R8bqDc7z2An1P0gbuSiFct841ZTfgv/jHsaOJCVmMdgW8RtteqXfG9j2ozulGOuOc07
l2E2tce+1cYhwsl5cvLEOBWtpA3ZUhCNAdwuDWXVFSwJ7vgqMAgZj/+XuzPpbVtLovBfMXrPgOLM
RT+gNXqSh8SOk2wEWlLEmRJn8tf3R8lKTHlI3qPQCJrIJrZcJEt3qFt16pwiu0Olkv5XOu8uV7NA
nZDsC6i9ySpWk/p2nUvJVHcAPHiZdAeMt5xXBN+jpHAh4ta95Lb2ONEXNKKPtSwqh8Karmil6Y/O
AHdBJvJNDJxk0lvL7mmGaOGE4G/2OTecaMwCqC2ApHrVFI0Yd7riSArLc9OaXZKtHxmNyLNjGwbg
lDgebzSJY7FIJsMApNVEDzQuAh98NOKw+A6noDmum7LFYDOjE5B5o9wqVZGQ+nXX9zYHp3tIoytL
0Ci2ktVVxakQQSBoCE2GEsZ1WuFN2qvXK4PedIkudRQrjPNZ07kOpjua+jSzQwpDPkWQlQ3KbZF3
W0Yb1BygEL8GHWGCdXE05Ktp24oHTk8I9NNMyJxqHFPKQziVjRvIQ9NbDwPv2N2229clemh204Mv
bdvxN01nPuwCZBJqk3Z9CQRkOPAlii1yQUA6hG1EHyY9ztKlVAc3gqCe0v7o9e0s3ExjTbLAJKMP
tYHRwb5YoxqlObH+EeaeyUwwesJZspOX8inLQKqdm0VozmsFlo/RaoYoVd3IUyWZZARzc6tapaBf
FQJUvFfXpXyD2oQNRIiiwp0yS9wReCG6l/3QPC8iXQr65iyh73kNEzf8H0LgFo2m+opKJMHMvYRQ
olcOVVIqqT0MkXrQz2GJNBJhGKiuJBJ1aPg9yNf1eKa5yNSN4JUUv9Y2KfyBSLb5agMXgP5AnCFt
IGEC/HgbEkrOFi54KNrya7PPCseOqAjKSMyiT4xcFZ01qqFABmFZ8SDGoz2yL6am+4jsXyWcGmEu
gkuM0I3sQ8KZecMc6RDaFksbPp1iFZifg2qNgFAP1D9gzwol4R7Z/LwfNs2/Yaori0rhVDshwwcl
tl5t9HCYCw7RQ9pDEmAUqh63rP0VELOg6Z0D1AlPkpf49NAC9HEmrH3ccYcSlcyEOgJEcK7czx0z
jK51jveRNkDl2ZbTCzgjVHEYQXHbX+mlDqEP0vXXkL+VY7Uh2xFFP4c/QMXHAw0alDu/QF2ZuD1B
BD2K6aWvA7OYuHRMTUNT2Zx5jsm8L9XZUPV8JR1ImaxPYNCyJ7ALGpPIjr2bUPIv65VJIB/31Oiy
tBuWTQo246hIFUQuFUNvqK4dyq1ZCL4rdTWpkTmZcGhHGho9PtavleaMYsgFhLFIH/0n1DBJaUlk
edAEpf9RE8LwSrez6KOBuuMVydH8q+pCC9aHruyiormz72/i3tArldUkjeFY6td1RpE1SOpqvqk2
j+xR8RWNGdq4oIty4OQO8aIkbsRPiBrPxqXoGveAHpJbBf5qNofQh+9OT66j1BAIECvxPA/F2bzm
yHpTzYCR6drqjKVzdgotgfjF05E1hLbQ+JojUhz105m0PnXh17nQa72eKsD3+7BCeMN1UbnfbHLR
5yqyrVeI+45TIVT6ZSqSIkyBaxKr5rIycqtZfQOPOelWz5wkfgPVA7p6Vml5RptwCPIgD1TEBXqk
0eoEsviCg8o1RE5oycSlZFzAxrImqSyrwzVQBsRHNyXtl4ral3oOfCmUam8gLKemVtveSHFNElS8
ADhqLycQLRSbpbFWvsjyBuhtrpprKwfBOuWs01vm8E+O6fCSRx5UrKdaspEfhJL7SWa0Gq7h8xm7
zno9isPUv/LEYvM5Yx5O6RGNb1Ry9ZeGDjEkCuDupQc2asJBMb9CWhMiC8nXTv06/7YxFOcSiLT9
MIsy8WqGlC1GEo1IIKgbfXRwBFEgi1dJCaX9wGHm36hAuydUAWLL0EPy5JoHRKFOb+nlK6EFDgzt
LDATE5kEu77ocXZ9LKCc66/LAKgowIQzW1w9zOJQg2ItgKA0BLggIAg0AjlPfVDsCV9QaBdHBZrR
0zI0qwtZSDjVsPvDmQo361Dp2YrbB7J4L0gZbDygHRMo0iDtMYUCfuG81DhKAvMZQDTXgKJXEig6
oMEULkVP69FiwLw3armRbo/zdAiKTbWkBmlfwloFtF90wYvHsQdxLfXkytY/ybBqrNjyVoGzsu8S
rVo7t/9f8f1T5q5pUh1t4/bbbBlXH5ew6aTJPhfU/PYmcsL0LvpnH3rf0Mnyd04MPUIIqk+tE8P2
obZP/J4N30J1J1ss//0vyfgAb4GKIhfFKh+A1NPPBaNJhNEwCxqMVimuXVntmXfeev/3X23nyPc/
03r0OfittPkCVs6hxM8hkO6Nlz+w8PPlqcrBrQB+jl6n/Ts+94EJXq7HEajpKdteuxv+731gLQKo
gsF5xs48fX78k5RtyrHTEFDEDzQRq7KCzNFrXmAk0PYrE+zQ3Li9nk/492bC+9/y3x4Jb3pBRU+g
4zyQ9Q8Q3Guo4Zk7J1DxfT4UKPiidQBVAWnrP9MJHPrFw4T6GxPiwJE/JwRDAT0smD1IXG8vDD73
gmF+4DZATg08vr3+tKEgUx44zKL8XS/IPcTCIAwwWGC318FYYFmQZQ6QsHvsnLBz+5+0LKCDykN3
WxYkEMEmjAaggbcXG8DzsaCrH+AYQQQSCpbtReaIG/6WF37jQz+22oHt+IvtJussk9f24rc+sF99
Xv7+aX85W7D/QS/Q+mBTttrd++ce/Fdrwmxf8dkv96+8vc/Tnz+94Mtbt+61f6v9D0+dZWzFc8q/
2+3/6TGvrICN+j++9WgF1vPFn9HZQFbeDhV+fP+/MJx4B3abbvzOdmOnjtq80iT/mJvdDXtWmFjJ
3lLzNaJ3x3jvanlg+c73KD6ABu12l862Iz+KrUW0f8rmqSkyMmm6WyYvPE8dgJx7Y1vjpG33/3+1
Fvtbo2O49K3CaosAoepzBGfvw5mT6PvJgIJW8Oi0RiFizkcYhWO87rS1cJ/C5q5unyyjeNV+ZMRz
RULErpZP8bjj7O1sh7e8ZbXpavhsYdmtAUjxr3eEJeQMHm+wy+0ZuQtHOj9yuHCsg1UEbXeOPZ0t
R0VrvLGNNSJBXc1evFybIG85wny54MmyuVftH3E7LoA3HGGSXEaZk7xwMwDII4yNKaR8rYoVXcDH
2F6mFg2CVrh47g5KWMf4CqdWklhzuh6Xadoa0wA4lGO4xJnbzspqsV1JHDCOsBdMnaZGeNg6xpnl
CBMGws6k+bdet9YmijbikaxHWXxo+igPHoXpwRrSMKmY+6Hzz3fHq+VjbB1ET7DgNBrCXdeRtzXc
O8Z7v9T2O4L982WcLKu9E5qViix0g33q7pXiZLosnXlrG8N4kwg7hvGvUeztLT0991ZHuqtTfqm1
cpQbvETLPfWbdnXNte20Pb7LO3U26/lEJO1TDSkt8wiL7NuS4B09ffOLDoKO5j/a0WJ5cpa82Nt0
TTtCbLlDVb4m+tPgKo8QS/wKttnRPe+CYDrbLtunyqdkUtdRfp9a9vM1hcpgIwDf1eznZQwyv3Xm
a3hnj7AQfnY42RycgsHKHGP8PViJDZ4mbafySSgqRwiRH5ZJevLqw5OpOsJh+F2e0o6D7wFldByz
HxbN3gP2quHLfX+cvJZp+pGFe5l/2ifdX/uzdnKt+cTcX1rxX/8FAAD//w==</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image" Target="../media/image7.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microsoft.com/office/2014/relationships/chartEx" Target="../charts/chartEx1.xml"/><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25400</xdr:rowOff>
    </xdr:from>
    <xdr:to>
      <xdr:col>1</xdr:col>
      <xdr:colOff>519430</xdr:colOff>
      <xdr:row>2</xdr:row>
      <xdr:rowOff>171450</xdr:rowOff>
    </xdr:to>
    <xdr:sp macro="" textlink="">
      <xdr:nvSpPr>
        <xdr:cNvPr id="2" name="Rectangle 1">
          <a:extLst>
            <a:ext uri="{FF2B5EF4-FFF2-40B4-BE49-F238E27FC236}">
              <a16:creationId xmlns:a16="http://schemas.microsoft.com/office/drawing/2014/main" id="{8C122D97-68DF-61A2-C6BE-C3142E9E72A9}"/>
            </a:ext>
          </a:extLst>
        </xdr:cNvPr>
        <xdr:cNvSpPr/>
      </xdr:nvSpPr>
      <xdr:spPr>
        <a:xfrm>
          <a:off x="31750" y="25400"/>
          <a:ext cx="1097280" cy="514350"/>
        </a:xfrm>
        <a:prstGeom prst="rect">
          <a:avLst/>
        </a:prstGeom>
        <a:solidFill>
          <a:schemeClr val="accent1">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539750</xdr:colOff>
      <xdr:row>0</xdr:row>
      <xdr:rowOff>25400</xdr:rowOff>
    </xdr:from>
    <xdr:to>
      <xdr:col>12</xdr:col>
      <xdr:colOff>431800</xdr:colOff>
      <xdr:row>2</xdr:row>
      <xdr:rowOff>171450</xdr:rowOff>
    </xdr:to>
    <xdr:sp macro="" textlink="">
      <xdr:nvSpPr>
        <xdr:cNvPr id="3" name="Rectangle 2">
          <a:extLst>
            <a:ext uri="{FF2B5EF4-FFF2-40B4-BE49-F238E27FC236}">
              <a16:creationId xmlns:a16="http://schemas.microsoft.com/office/drawing/2014/main" id="{739355D1-DEAD-901B-5F4E-0FA8D7681485}"/>
            </a:ext>
          </a:extLst>
        </xdr:cNvPr>
        <xdr:cNvSpPr/>
      </xdr:nvSpPr>
      <xdr:spPr>
        <a:xfrm>
          <a:off x="1151518" y="25400"/>
          <a:ext cx="6621502" cy="517757"/>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165100</xdr:colOff>
      <xdr:row>0</xdr:row>
      <xdr:rowOff>76200</xdr:rowOff>
    </xdr:from>
    <xdr:to>
      <xdr:col>12</xdr:col>
      <xdr:colOff>127000</xdr:colOff>
      <xdr:row>2</xdr:row>
      <xdr:rowOff>114300</xdr:rowOff>
    </xdr:to>
    <xdr:sp macro="" textlink="">
      <xdr:nvSpPr>
        <xdr:cNvPr id="4" name="TextBox 3">
          <a:extLst>
            <a:ext uri="{FF2B5EF4-FFF2-40B4-BE49-F238E27FC236}">
              <a16:creationId xmlns:a16="http://schemas.microsoft.com/office/drawing/2014/main" id="{54242FC5-A9D0-78AF-C08C-1753BE181478}"/>
            </a:ext>
          </a:extLst>
        </xdr:cNvPr>
        <xdr:cNvSpPr txBox="1"/>
      </xdr:nvSpPr>
      <xdr:spPr>
        <a:xfrm>
          <a:off x="1388637" y="76200"/>
          <a:ext cx="6079583" cy="409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SUPERSTORE</a:t>
          </a:r>
          <a:r>
            <a:rPr lang="en-US" sz="2000" b="1" baseline="0">
              <a:solidFill>
                <a:schemeClr val="bg1"/>
              </a:solidFill>
            </a:rPr>
            <a:t> </a:t>
          </a:r>
          <a:r>
            <a:rPr lang="en-US" sz="2000" b="1">
              <a:solidFill>
                <a:schemeClr val="bg1"/>
              </a:solidFill>
            </a:rPr>
            <a:t>SALES ANALYSIS DASHBOARD</a:t>
          </a:r>
        </a:p>
      </xdr:txBody>
    </xdr:sp>
    <xdr:clientData/>
  </xdr:twoCellAnchor>
  <xdr:twoCellAnchor>
    <xdr:from>
      <xdr:col>0</xdr:col>
      <xdr:colOff>31750</xdr:colOff>
      <xdr:row>3</xdr:row>
      <xdr:rowOff>19050</xdr:rowOff>
    </xdr:from>
    <xdr:to>
      <xdr:col>1</xdr:col>
      <xdr:colOff>519430</xdr:colOff>
      <xdr:row>27</xdr:row>
      <xdr:rowOff>95250</xdr:rowOff>
    </xdr:to>
    <xdr:sp macro="" textlink="">
      <xdr:nvSpPr>
        <xdr:cNvPr id="5" name="Rectangle 4">
          <a:extLst>
            <a:ext uri="{FF2B5EF4-FFF2-40B4-BE49-F238E27FC236}">
              <a16:creationId xmlns:a16="http://schemas.microsoft.com/office/drawing/2014/main" id="{FE073EC4-0DEF-7100-2F10-D06F22522AEC}"/>
            </a:ext>
          </a:extLst>
        </xdr:cNvPr>
        <xdr:cNvSpPr/>
      </xdr:nvSpPr>
      <xdr:spPr>
        <a:xfrm>
          <a:off x="31750" y="571500"/>
          <a:ext cx="1097280" cy="4495800"/>
        </a:xfrm>
        <a:prstGeom prst="rect">
          <a:avLst/>
        </a:prstGeom>
        <a:solidFill>
          <a:schemeClr val="accent1">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139700</xdr:colOff>
      <xdr:row>6</xdr:row>
      <xdr:rowOff>95250</xdr:rowOff>
    </xdr:from>
    <xdr:to>
      <xdr:col>8</xdr:col>
      <xdr:colOff>152400</xdr:colOff>
      <xdr:row>17</xdr:row>
      <xdr:rowOff>139700</xdr:rowOff>
    </xdr:to>
    <xdr:sp macro="" textlink="">
      <xdr:nvSpPr>
        <xdr:cNvPr id="13" name="Rectangle 12">
          <a:extLst>
            <a:ext uri="{FF2B5EF4-FFF2-40B4-BE49-F238E27FC236}">
              <a16:creationId xmlns:a16="http://schemas.microsoft.com/office/drawing/2014/main" id="{4A813D86-D598-05B6-90E1-98899C9CB6C1}"/>
            </a:ext>
          </a:extLst>
        </xdr:cNvPr>
        <xdr:cNvSpPr/>
      </xdr:nvSpPr>
      <xdr:spPr>
        <a:xfrm>
          <a:off x="3187700" y="1200150"/>
          <a:ext cx="1841500" cy="2070100"/>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228600</xdr:colOff>
      <xdr:row>6</xdr:row>
      <xdr:rowOff>107950</xdr:rowOff>
    </xdr:from>
    <xdr:to>
      <xdr:col>12</xdr:col>
      <xdr:colOff>444500</xdr:colOff>
      <xdr:row>17</xdr:row>
      <xdr:rowOff>139700</xdr:rowOff>
    </xdr:to>
    <xdr:sp macro="" textlink="">
      <xdr:nvSpPr>
        <xdr:cNvPr id="14" name="Rectangle 13">
          <a:extLst>
            <a:ext uri="{FF2B5EF4-FFF2-40B4-BE49-F238E27FC236}">
              <a16:creationId xmlns:a16="http://schemas.microsoft.com/office/drawing/2014/main" id="{CAE21DC7-F8DF-38E0-6AFA-587990F62510}"/>
            </a:ext>
          </a:extLst>
        </xdr:cNvPr>
        <xdr:cNvSpPr/>
      </xdr:nvSpPr>
      <xdr:spPr>
        <a:xfrm>
          <a:off x="5105400" y="1212850"/>
          <a:ext cx="2654300" cy="2057400"/>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565150</xdr:colOff>
      <xdr:row>6</xdr:row>
      <xdr:rowOff>95250</xdr:rowOff>
    </xdr:from>
    <xdr:to>
      <xdr:col>5</xdr:col>
      <xdr:colOff>76200</xdr:colOff>
      <xdr:row>17</xdr:row>
      <xdr:rowOff>133350</xdr:rowOff>
    </xdr:to>
    <xdr:sp macro="" textlink="">
      <xdr:nvSpPr>
        <xdr:cNvPr id="15" name="Rectangle 14">
          <a:extLst>
            <a:ext uri="{FF2B5EF4-FFF2-40B4-BE49-F238E27FC236}">
              <a16:creationId xmlns:a16="http://schemas.microsoft.com/office/drawing/2014/main" id="{D95B3793-1250-BE22-92D2-6B28AE4FDEAC}"/>
            </a:ext>
          </a:extLst>
        </xdr:cNvPr>
        <xdr:cNvSpPr/>
      </xdr:nvSpPr>
      <xdr:spPr>
        <a:xfrm>
          <a:off x="1174750" y="1200150"/>
          <a:ext cx="1949450" cy="2063750"/>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215900</xdr:colOff>
      <xdr:row>18</xdr:row>
      <xdr:rowOff>38100</xdr:rowOff>
    </xdr:from>
    <xdr:to>
      <xdr:col>12</xdr:col>
      <xdr:colOff>450850</xdr:colOff>
      <xdr:row>27</xdr:row>
      <xdr:rowOff>88900</xdr:rowOff>
    </xdr:to>
    <xdr:sp macro="" textlink="">
      <xdr:nvSpPr>
        <xdr:cNvPr id="17" name="Rectangle 16">
          <a:extLst>
            <a:ext uri="{FF2B5EF4-FFF2-40B4-BE49-F238E27FC236}">
              <a16:creationId xmlns:a16="http://schemas.microsoft.com/office/drawing/2014/main" id="{F0152E86-E8D2-962C-6280-5653B1FC142F}"/>
            </a:ext>
          </a:extLst>
        </xdr:cNvPr>
        <xdr:cNvSpPr/>
      </xdr:nvSpPr>
      <xdr:spPr>
        <a:xfrm>
          <a:off x="5092700" y="3352800"/>
          <a:ext cx="2673350" cy="1708150"/>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558800</xdr:colOff>
      <xdr:row>18</xdr:row>
      <xdr:rowOff>38100</xdr:rowOff>
    </xdr:from>
    <xdr:to>
      <xdr:col>8</xdr:col>
      <xdr:colOff>184150</xdr:colOff>
      <xdr:row>27</xdr:row>
      <xdr:rowOff>95250</xdr:rowOff>
    </xdr:to>
    <xdr:sp macro="" textlink="">
      <xdr:nvSpPr>
        <xdr:cNvPr id="18" name="Rectangle 17">
          <a:extLst>
            <a:ext uri="{FF2B5EF4-FFF2-40B4-BE49-F238E27FC236}">
              <a16:creationId xmlns:a16="http://schemas.microsoft.com/office/drawing/2014/main" id="{D78AFE53-824C-3557-790A-5C595677E547}"/>
            </a:ext>
          </a:extLst>
        </xdr:cNvPr>
        <xdr:cNvSpPr/>
      </xdr:nvSpPr>
      <xdr:spPr>
        <a:xfrm>
          <a:off x="1168400" y="3352800"/>
          <a:ext cx="3892550" cy="1714500"/>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50800</xdr:colOff>
      <xdr:row>0</xdr:row>
      <xdr:rowOff>104597</xdr:rowOff>
    </xdr:from>
    <xdr:to>
      <xdr:col>3</xdr:col>
      <xdr:colOff>127000</xdr:colOff>
      <xdr:row>2</xdr:row>
      <xdr:rowOff>152400</xdr:rowOff>
    </xdr:to>
    <xdr:pic>
      <xdr:nvPicPr>
        <xdr:cNvPr id="20" name="Graphic 19" descr="Shopping cart with solid fill">
          <a:extLst>
            <a:ext uri="{FF2B5EF4-FFF2-40B4-BE49-F238E27FC236}">
              <a16:creationId xmlns:a16="http://schemas.microsoft.com/office/drawing/2014/main" id="{593642EF-3A54-FB7B-EA8B-7E5C2C538D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0000" y="104597"/>
          <a:ext cx="685800" cy="416103"/>
        </a:xfrm>
        <a:prstGeom prst="rect">
          <a:avLst/>
        </a:prstGeom>
      </xdr:spPr>
    </xdr:pic>
    <xdr:clientData/>
  </xdr:twoCellAnchor>
  <xdr:twoCellAnchor>
    <xdr:from>
      <xdr:col>1</xdr:col>
      <xdr:colOff>584200</xdr:colOff>
      <xdr:row>3</xdr:row>
      <xdr:rowOff>44450</xdr:rowOff>
    </xdr:from>
    <xdr:to>
      <xdr:col>5</xdr:col>
      <xdr:colOff>342900</xdr:colOff>
      <xdr:row>6</xdr:row>
      <xdr:rowOff>31750</xdr:rowOff>
    </xdr:to>
    <xdr:sp macro="" textlink="">
      <xdr:nvSpPr>
        <xdr:cNvPr id="23" name="Rectangle 22">
          <a:extLst>
            <a:ext uri="{FF2B5EF4-FFF2-40B4-BE49-F238E27FC236}">
              <a16:creationId xmlns:a16="http://schemas.microsoft.com/office/drawing/2014/main" id="{C0955DD1-550D-9E67-4D43-AABEAAEBF378}"/>
            </a:ext>
          </a:extLst>
        </xdr:cNvPr>
        <xdr:cNvSpPr/>
      </xdr:nvSpPr>
      <xdr:spPr>
        <a:xfrm>
          <a:off x="1193800" y="596900"/>
          <a:ext cx="2197100" cy="539750"/>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450850</xdr:colOff>
      <xdr:row>3</xdr:row>
      <xdr:rowOff>38100</xdr:rowOff>
    </xdr:from>
    <xdr:to>
      <xdr:col>9</xdr:col>
      <xdr:colOff>114300</xdr:colOff>
      <xdr:row>6</xdr:row>
      <xdr:rowOff>25400</xdr:rowOff>
    </xdr:to>
    <xdr:sp macro="" textlink="">
      <xdr:nvSpPr>
        <xdr:cNvPr id="24" name="Rectangle 23">
          <a:extLst>
            <a:ext uri="{FF2B5EF4-FFF2-40B4-BE49-F238E27FC236}">
              <a16:creationId xmlns:a16="http://schemas.microsoft.com/office/drawing/2014/main" id="{F6E64126-F3F1-625A-C723-FE42695D1A09}"/>
            </a:ext>
          </a:extLst>
        </xdr:cNvPr>
        <xdr:cNvSpPr/>
      </xdr:nvSpPr>
      <xdr:spPr>
        <a:xfrm>
          <a:off x="3498850" y="590550"/>
          <a:ext cx="2101850" cy="539750"/>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228600</xdr:colOff>
      <xdr:row>3</xdr:row>
      <xdr:rowOff>31750</xdr:rowOff>
    </xdr:from>
    <xdr:to>
      <xdr:col>12</xdr:col>
      <xdr:colOff>431800</xdr:colOff>
      <xdr:row>6</xdr:row>
      <xdr:rowOff>19050</xdr:rowOff>
    </xdr:to>
    <xdr:sp macro="" textlink="">
      <xdr:nvSpPr>
        <xdr:cNvPr id="25" name="Rectangle 24">
          <a:extLst>
            <a:ext uri="{FF2B5EF4-FFF2-40B4-BE49-F238E27FC236}">
              <a16:creationId xmlns:a16="http://schemas.microsoft.com/office/drawing/2014/main" id="{6A0F24F6-D0A7-3AD0-43F0-893EA2A001EE}"/>
            </a:ext>
          </a:extLst>
        </xdr:cNvPr>
        <xdr:cNvSpPr/>
      </xdr:nvSpPr>
      <xdr:spPr>
        <a:xfrm>
          <a:off x="5715000" y="584200"/>
          <a:ext cx="2032000" cy="539750"/>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146050</xdr:colOff>
      <xdr:row>3</xdr:row>
      <xdr:rowOff>19050</xdr:rowOff>
    </xdr:from>
    <xdr:to>
      <xdr:col>5</xdr:col>
      <xdr:colOff>323850</xdr:colOff>
      <xdr:row>4</xdr:row>
      <xdr:rowOff>88900</xdr:rowOff>
    </xdr:to>
    <xdr:sp macro="" textlink="">
      <xdr:nvSpPr>
        <xdr:cNvPr id="27" name="TextBox 26">
          <a:extLst>
            <a:ext uri="{FF2B5EF4-FFF2-40B4-BE49-F238E27FC236}">
              <a16:creationId xmlns:a16="http://schemas.microsoft.com/office/drawing/2014/main" id="{D84B8A88-4D7D-98D9-0A0E-D1374D326652}"/>
            </a:ext>
          </a:extLst>
        </xdr:cNvPr>
        <xdr:cNvSpPr txBox="1"/>
      </xdr:nvSpPr>
      <xdr:spPr>
        <a:xfrm>
          <a:off x="1974850" y="571500"/>
          <a:ext cx="13970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TOTAL UNITS</a:t>
          </a:r>
          <a:r>
            <a:rPr lang="en-US" sz="1000" b="1" baseline="0"/>
            <a:t> SOLD</a:t>
          </a:r>
          <a:endParaRPr lang="en-US" sz="1000" b="1"/>
        </a:p>
      </xdr:txBody>
    </xdr:sp>
    <xdr:clientData/>
  </xdr:twoCellAnchor>
  <xdr:twoCellAnchor>
    <xdr:from>
      <xdr:col>7</xdr:col>
      <xdr:colOff>12700</xdr:colOff>
      <xdr:row>3</xdr:row>
      <xdr:rowOff>38100</xdr:rowOff>
    </xdr:from>
    <xdr:to>
      <xdr:col>8</xdr:col>
      <xdr:colOff>584200</xdr:colOff>
      <xdr:row>4</xdr:row>
      <xdr:rowOff>95250</xdr:rowOff>
    </xdr:to>
    <xdr:sp macro="" textlink="">
      <xdr:nvSpPr>
        <xdr:cNvPr id="28" name="TextBox 27">
          <a:extLst>
            <a:ext uri="{FF2B5EF4-FFF2-40B4-BE49-F238E27FC236}">
              <a16:creationId xmlns:a16="http://schemas.microsoft.com/office/drawing/2014/main" id="{27A92E38-65C7-408E-9180-FF0C204DDDFA}"/>
            </a:ext>
          </a:extLst>
        </xdr:cNvPr>
        <xdr:cNvSpPr txBox="1"/>
      </xdr:nvSpPr>
      <xdr:spPr>
        <a:xfrm>
          <a:off x="4279900" y="590550"/>
          <a:ext cx="11811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t>TOTAL REVENUE</a:t>
          </a:r>
        </a:p>
      </xdr:txBody>
    </xdr:sp>
    <xdr:clientData/>
  </xdr:twoCellAnchor>
  <xdr:twoCellAnchor>
    <xdr:from>
      <xdr:col>10</xdr:col>
      <xdr:colOff>450370</xdr:colOff>
      <xdr:row>3</xdr:row>
      <xdr:rowOff>25400</xdr:rowOff>
    </xdr:from>
    <xdr:to>
      <xdr:col>12</xdr:col>
      <xdr:colOff>539750</xdr:colOff>
      <xdr:row>4</xdr:row>
      <xdr:rowOff>76200</xdr:rowOff>
    </xdr:to>
    <xdr:sp macro="" textlink="">
      <xdr:nvSpPr>
        <xdr:cNvPr id="29" name="TextBox 28">
          <a:extLst>
            <a:ext uri="{FF2B5EF4-FFF2-40B4-BE49-F238E27FC236}">
              <a16:creationId xmlns:a16="http://schemas.microsoft.com/office/drawing/2014/main" id="{B556DD55-945E-71BE-F5E8-61B1B173CD19}"/>
            </a:ext>
          </a:extLst>
        </xdr:cNvPr>
        <xdr:cNvSpPr txBox="1"/>
      </xdr:nvSpPr>
      <xdr:spPr>
        <a:xfrm>
          <a:off x="6546370" y="577850"/>
          <a:ext cx="130858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t>TOTAL PROFIT</a:t>
          </a:r>
        </a:p>
      </xdr:txBody>
    </xdr:sp>
    <xdr:clientData/>
  </xdr:twoCellAnchor>
  <xdr:twoCellAnchor editAs="oneCell">
    <xdr:from>
      <xdr:col>2</xdr:col>
      <xdr:colOff>155573</xdr:colOff>
      <xdr:row>3</xdr:row>
      <xdr:rowOff>82550</xdr:rowOff>
    </xdr:from>
    <xdr:to>
      <xdr:col>2</xdr:col>
      <xdr:colOff>609599</xdr:colOff>
      <xdr:row>6</xdr:row>
      <xdr:rowOff>0</xdr:rowOff>
    </xdr:to>
    <xdr:pic>
      <xdr:nvPicPr>
        <xdr:cNvPr id="31" name="Picture 30">
          <a:extLst>
            <a:ext uri="{FF2B5EF4-FFF2-40B4-BE49-F238E27FC236}">
              <a16:creationId xmlns:a16="http://schemas.microsoft.com/office/drawing/2014/main" id="{26039954-2501-17E0-C3FA-97F6A6F613F3}"/>
            </a:ext>
          </a:extLst>
        </xdr:cNvPr>
        <xdr:cNvPicPr>
          <a:picLocks noChangeAspect="1"/>
        </xdr:cNvPicPr>
      </xdr:nvPicPr>
      <xdr:blipFill>
        <a:blip xmlns:r="http://schemas.openxmlformats.org/officeDocument/2006/relationships" r:embed="rId3"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1374773" y="635000"/>
          <a:ext cx="454026" cy="469900"/>
        </a:xfrm>
        <a:prstGeom prst="rect">
          <a:avLst/>
        </a:prstGeom>
      </xdr:spPr>
    </xdr:pic>
    <xdr:clientData/>
  </xdr:twoCellAnchor>
  <xdr:twoCellAnchor editAs="oneCell">
    <xdr:from>
      <xdr:col>5</xdr:col>
      <xdr:colOff>501650</xdr:colOff>
      <xdr:row>3</xdr:row>
      <xdr:rowOff>107951</xdr:rowOff>
    </xdr:from>
    <xdr:to>
      <xdr:col>6</xdr:col>
      <xdr:colOff>323849</xdr:colOff>
      <xdr:row>5</xdr:row>
      <xdr:rowOff>120651</xdr:rowOff>
    </xdr:to>
    <xdr:pic>
      <xdr:nvPicPr>
        <xdr:cNvPr id="33" name="Picture 32">
          <a:extLst>
            <a:ext uri="{FF2B5EF4-FFF2-40B4-BE49-F238E27FC236}">
              <a16:creationId xmlns:a16="http://schemas.microsoft.com/office/drawing/2014/main" id="{B3833C75-5697-0F47-7096-896C03510E4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549650" y="660401"/>
          <a:ext cx="431799" cy="381000"/>
        </a:xfrm>
        <a:prstGeom prst="rect">
          <a:avLst/>
        </a:prstGeom>
      </xdr:spPr>
    </xdr:pic>
    <xdr:clientData/>
  </xdr:twoCellAnchor>
  <xdr:twoCellAnchor editAs="oneCell">
    <xdr:from>
      <xdr:col>9</xdr:col>
      <xdr:colOff>400050</xdr:colOff>
      <xdr:row>3</xdr:row>
      <xdr:rowOff>110856</xdr:rowOff>
    </xdr:from>
    <xdr:to>
      <xdr:col>10</xdr:col>
      <xdr:colOff>279401</xdr:colOff>
      <xdr:row>5</xdr:row>
      <xdr:rowOff>101600</xdr:rowOff>
    </xdr:to>
    <xdr:pic>
      <xdr:nvPicPr>
        <xdr:cNvPr id="35" name="Picture 34">
          <a:extLst>
            <a:ext uri="{FF2B5EF4-FFF2-40B4-BE49-F238E27FC236}">
              <a16:creationId xmlns:a16="http://schemas.microsoft.com/office/drawing/2014/main" id="{A2188632-9B05-F382-E97C-AAF2C0780AA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1" b="10850"/>
        <a:stretch>
          <a:fillRect/>
        </a:stretch>
      </xdr:blipFill>
      <xdr:spPr>
        <a:xfrm>
          <a:off x="5886450" y="663306"/>
          <a:ext cx="488951" cy="359044"/>
        </a:xfrm>
        <a:prstGeom prst="rect">
          <a:avLst/>
        </a:prstGeom>
      </xdr:spPr>
    </xdr:pic>
    <xdr:clientData/>
  </xdr:twoCellAnchor>
  <xdr:twoCellAnchor>
    <xdr:from>
      <xdr:col>3</xdr:col>
      <xdr:colOff>311150</xdr:colOff>
      <xdr:row>3</xdr:row>
      <xdr:rowOff>165100</xdr:rowOff>
    </xdr:from>
    <xdr:to>
      <xdr:col>5</xdr:col>
      <xdr:colOff>209550</xdr:colOff>
      <xdr:row>5</xdr:row>
      <xdr:rowOff>146050</xdr:rowOff>
    </xdr:to>
    <xdr:sp macro="" textlink="ANALYSIS!C4">
      <xdr:nvSpPr>
        <xdr:cNvPr id="37" name="TextBox 36">
          <a:extLst>
            <a:ext uri="{FF2B5EF4-FFF2-40B4-BE49-F238E27FC236}">
              <a16:creationId xmlns:a16="http://schemas.microsoft.com/office/drawing/2014/main" id="{60DB3941-91B7-BD7B-CBC5-F113B789F254}"/>
            </a:ext>
          </a:extLst>
        </xdr:cNvPr>
        <xdr:cNvSpPr txBox="1"/>
      </xdr:nvSpPr>
      <xdr:spPr>
        <a:xfrm>
          <a:off x="2139950" y="717550"/>
          <a:ext cx="11176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611AEF-3A16-4B1A-B798-34EFBBC8D232}" type="TxLink">
            <a:rPr lang="en-US" sz="1800" b="1" i="0" u="none" strike="noStrike">
              <a:solidFill>
                <a:srgbClr val="000000"/>
              </a:solidFill>
              <a:latin typeface="Calibri"/>
              <a:ea typeface="Calibri"/>
              <a:cs typeface="Calibri"/>
            </a:rPr>
            <a:pPr/>
            <a:t> 12,745 </a:t>
          </a:fld>
          <a:endParaRPr lang="en-US" sz="1200" b="1"/>
        </a:p>
      </xdr:txBody>
    </xdr:sp>
    <xdr:clientData/>
  </xdr:twoCellAnchor>
  <xdr:twoCellAnchor>
    <xdr:from>
      <xdr:col>6</xdr:col>
      <xdr:colOff>457200</xdr:colOff>
      <xdr:row>4</xdr:row>
      <xdr:rowOff>25400</xdr:rowOff>
    </xdr:from>
    <xdr:to>
      <xdr:col>9</xdr:col>
      <xdr:colOff>177800</xdr:colOff>
      <xdr:row>6</xdr:row>
      <xdr:rowOff>38100</xdr:rowOff>
    </xdr:to>
    <xdr:sp macro="" textlink="ANALYSIS!E4">
      <xdr:nvSpPr>
        <xdr:cNvPr id="38" name="TextBox 37">
          <a:extLst>
            <a:ext uri="{FF2B5EF4-FFF2-40B4-BE49-F238E27FC236}">
              <a16:creationId xmlns:a16="http://schemas.microsoft.com/office/drawing/2014/main" id="{6F8F9BDD-DA01-2D3D-70DB-D75567B1D7D2}"/>
            </a:ext>
          </a:extLst>
        </xdr:cNvPr>
        <xdr:cNvSpPr txBox="1"/>
      </xdr:nvSpPr>
      <xdr:spPr>
        <a:xfrm>
          <a:off x="4114800" y="762000"/>
          <a:ext cx="1549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F5FDCD-59DA-4326-9D53-1C015DCF1037}" type="TxLink">
            <a:rPr lang="en-US" sz="1800" b="1" i="0" u="none" strike="noStrike">
              <a:solidFill>
                <a:srgbClr val="000000"/>
              </a:solidFill>
              <a:latin typeface="Calibri"/>
              <a:ea typeface="Calibri"/>
              <a:cs typeface="Calibri"/>
            </a:rPr>
            <a:pPr/>
            <a:t> $6,182,639 </a:t>
          </a:fld>
          <a:endParaRPr lang="en-US" sz="1600" b="1"/>
        </a:p>
      </xdr:txBody>
    </xdr:sp>
    <xdr:clientData/>
  </xdr:twoCellAnchor>
  <xdr:twoCellAnchor>
    <xdr:from>
      <xdr:col>10</xdr:col>
      <xdr:colOff>252927</xdr:colOff>
      <xdr:row>3</xdr:row>
      <xdr:rowOff>171450</xdr:rowOff>
    </xdr:from>
    <xdr:to>
      <xdr:col>13</xdr:col>
      <xdr:colOff>63500</xdr:colOff>
      <xdr:row>5</xdr:row>
      <xdr:rowOff>171450</xdr:rowOff>
    </xdr:to>
    <xdr:sp macro="" textlink="ANALYSIS!G4">
      <xdr:nvSpPr>
        <xdr:cNvPr id="39" name="TextBox 38">
          <a:extLst>
            <a:ext uri="{FF2B5EF4-FFF2-40B4-BE49-F238E27FC236}">
              <a16:creationId xmlns:a16="http://schemas.microsoft.com/office/drawing/2014/main" id="{1763C087-6D4E-6E22-BD17-670BB751139E}"/>
            </a:ext>
          </a:extLst>
        </xdr:cNvPr>
        <xdr:cNvSpPr txBox="1"/>
      </xdr:nvSpPr>
      <xdr:spPr>
        <a:xfrm>
          <a:off x="6348927" y="723900"/>
          <a:ext cx="1639373"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20085A-B0CC-4003-A2AB-F7F08F954091}" type="TxLink">
            <a:rPr lang="en-US" sz="1800" b="1" i="0" u="none" strike="noStrike">
              <a:solidFill>
                <a:srgbClr val="000000"/>
              </a:solidFill>
              <a:latin typeface="Calibri"/>
              <a:ea typeface="Calibri"/>
              <a:cs typeface="Calibri"/>
            </a:rPr>
            <a:pPr/>
            <a:t> $1,610,697 </a:t>
          </a:fld>
          <a:endParaRPr lang="en-US" sz="1600" b="1"/>
        </a:p>
      </xdr:txBody>
    </xdr:sp>
    <xdr:clientData/>
  </xdr:twoCellAnchor>
  <xdr:twoCellAnchor>
    <xdr:from>
      <xdr:col>1</xdr:col>
      <xdr:colOff>577850</xdr:colOff>
      <xdr:row>19</xdr:row>
      <xdr:rowOff>82550</xdr:rowOff>
    </xdr:from>
    <xdr:to>
      <xdr:col>8</xdr:col>
      <xdr:colOff>88900</xdr:colOff>
      <xdr:row>27</xdr:row>
      <xdr:rowOff>44450</xdr:rowOff>
    </xdr:to>
    <xdr:graphicFrame macro="">
      <xdr:nvGraphicFramePr>
        <xdr:cNvPr id="41" name="Chart 40">
          <a:extLst>
            <a:ext uri="{FF2B5EF4-FFF2-40B4-BE49-F238E27FC236}">
              <a16:creationId xmlns:a16="http://schemas.microsoft.com/office/drawing/2014/main" id="{1A566C80-2197-41EC-B5BD-D3E5331E8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406400</xdr:colOff>
      <xdr:row>18</xdr:row>
      <xdr:rowOff>31750</xdr:rowOff>
    </xdr:from>
    <xdr:to>
      <xdr:col>6</xdr:col>
      <xdr:colOff>539750</xdr:colOff>
      <xdr:row>19</xdr:row>
      <xdr:rowOff>63500</xdr:rowOff>
    </xdr:to>
    <xdr:sp macro="" textlink="">
      <xdr:nvSpPr>
        <xdr:cNvPr id="42" name="TextBox 41">
          <a:extLst>
            <a:ext uri="{FF2B5EF4-FFF2-40B4-BE49-F238E27FC236}">
              <a16:creationId xmlns:a16="http://schemas.microsoft.com/office/drawing/2014/main" id="{40D84F4B-D300-95FB-9416-D6A0FC43EBEE}"/>
            </a:ext>
          </a:extLst>
        </xdr:cNvPr>
        <xdr:cNvSpPr txBox="1"/>
      </xdr:nvSpPr>
      <xdr:spPr>
        <a:xfrm>
          <a:off x="2235200" y="3346450"/>
          <a:ext cx="19621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REVENUE</a:t>
          </a:r>
          <a:r>
            <a:rPr lang="en-US" sz="1000" b="1" baseline="0"/>
            <a:t> MONTHLY TREND</a:t>
          </a:r>
          <a:endParaRPr lang="en-US" sz="1000" b="1"/>
        </a:p>
      </xdr:txBody>
    </xdr:sp>
    <xdr:clientData/>
  </xdr:twoCellAnchor>
  <xdr:twoCellAnchor>
    <xdr:from>
      <xdr:col>1</xdr:col>
      <xdr:colOff>584200</xdr:colOff>
      <xdr:row>7</xdr:row>
      <xdr:rowOff>88900</xdr:rowOff>
    </xdr:from>
    <xdr:to>
      <xdr:col>5</xdr:col>
      <xdr:colOff>0</xdr:colOff>
      <xdr:row>18</xdr:row>
      <xdr:rowOff>0</xdr:rowOff>
    </xdr:to>
    <xdr:graphicFrame macro="">
      <xdr:nvGraphicFramePr>
        <xdr:cNvPr id="43" name="Chart 42">
          <a:extLst>
            <a:ext uri="{FF2B5EF4-FFF2-40B4-BE49-F238E27FC236}">
              <a16:creationId xmlns:a16="http://schemas.microsoft.com/office/drawing/2014/main" id="{7727E5B6-FD1B-4030-88DF-B0F0887C5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63500</xdr:colOff>
      <xdr:row>6</xdr:row>
      <xdr:rowOff>101600</xdr:rowOff>
    </xdr:from>
    <xdr:to>
      <xdr:col>5</xdr:col>
      <xdr:colOff>196850</xdr:colOff>
      <xdr:row>7</xdr:row>
      <xdr:rowOff>133350</xdr:rowOff>
    </xdr:to>
    <xdr:sp macro="" textlink="">
      <xdr:nvSpPr>
        <xdr:cNvPr id="44" name="TextBox 43">
          <a:extLst>
            <a:ext uri="{FF2B5EF4-FFF2-40B4-BE49-F238E27FC236}">
              <a16:creationId xmlns:a16="http://schemas.microsoft.com/office/drawing/2014/main" id="{E82D3A4D-9602-4C77-8E96-7D06CAD789B5}"/>
            </a:ext>
          </a:extLst>
        </xdr:cNvPr>
        <xdr:cNvSpPr txBox="1"/>
      </xdr:nvSpPr>
      <xdr:spPr>
        <a:xfrm>
          <a:off x="1282700" y="1206500"/>
          <a:ext cx="19621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TOP</a:t>
          </a:r>
          <a:r>
            <a:rPr lang="en-US" sz="1000" b="1" baseline="0"/>
            <a:t> 10 CUSTOMERS BY SALES</a:t>
          </a:r>
          <a:endParaRPr lang="en-US" sz="1000" b="1"/>
        </a:p>
      </xdr:txBody>
    </xdr:sp>
    <xdr:clientData/>
  </xdr:twoCellAnchor>
  <xdr:twoCellAnchor>
    <xdr:from>
      <xdr:col>5</xdr:col>
      <xdr:colOff>190500</xdr:colOff>
      <xdr:row>7</xdr:row>
      <xdr:rowOff>95250</xdr:rowOff>
    </xdr:from>
    <xdr:to>
      <xdr:col>8</xdr:col>
      <xdr:colOff>158750</xdr:colOff>
      <xdr:row>16</xdr:row>
      <xdr:rowOff>120650</xdr:rowOff>
    </xdr:to>
    <xdr:graphicFrame macro="">
      <xdr:nvGraphicFramePr>
        <xdr:cNvPr id="45" name="Chart 44">
          <a:extLst>
            <a:ext uri="{FF2B5EF4-FFF2-40B4-BE49-F238E27FC236}">
              <a16:creationId xmlns:a16="http://schemas.microsoft.com/office/drawing/2014/main" id="{B56327AC-FD6C-4F5A-A1BB-740C75BE3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152400</xdr:colOff>
      <xdr:row>6</xdr:row>
      <xdr:rowOff>107950</xdr:rowOff>
    </xdr:from>
    <xdr:to>
      <xdr:col>8</xdr:col>
      <xdr:colOff>285750</xdr:colOff>
      <xdr:row>7</xdr:row>
      <xdr:rowOff>139700</xdr:rowOff>
    </xdr:to>
    <xdr:sp macro="" textlink="">
      <xdr:nvSpPr>
        <xdr:cNvPr id="47" name="TextBox 46">
          <a:extLst>
            <a:ext uri="{FF2B5EF4-FFF2-40B4-BE49-F238E27FC236}">
              <a16:creationId xmlns:a16="http://schemas.microsoft.com/office/drawing/2014/main" id="{A18D5129-BF93-2318-66D8-D8D51FB5A664}"/>
            </a:ext>
          </a:extLst>
        </xdr:cNvPr>
        <xdr:cNvSpPr txBox="1"/>
      </xdr:nvSpPr>
      <xdr:spPr>
        <a:xfrm>
          <a:off x="3200400" y="1212850"/>
          <a:ext cx="19621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baseline="0"/>
            <a:t>SALES % BY PAYMENT MODE</a:t>
          </a:r>
          <a:endParaRPr lang="en-US" sz="1000" b="1"/>
        </a:p>
      </xdr:txBody>
    </xdr:sp>
    <xdr:clientData/>
  </xdr:twoCellAnchor>
  <xdr:twoCellAnchor>
    <xdr:from>
      <xdr:col>8</xdr:col>
      <xdr:colOff>298450</xdr:colOff>
      <xdr:row>18</xdr:row>
      <xdr:rowOff>177800</xdr:rowOff>
    </xdr:from>
    <xdr:to>
      <xdr:col>12</xdr:col>
      <xdr:colOff>393700</xdr:colOff>
      <xdr:row>27</xdr:row>
      <xdr:rowOff>44450</xdr:rowOff>
    </xdr:to>
    <mc:AlternateContent xmlns:mc="http://schemas.openxmlformats.org/markup-compatibility/2006">
      <mc:Choice xmlns:cx4="http://schemas.microsoft.com/office/drawing/2016/5/10/chartex" Requires="cx4">
        <xdr:graphicFrame macro="">
          <xdr:nvGraphicFramePr>
            <xdr:cNvPr id="48" name="Chart 47">
              <a:extLst>
                <a:ext uri="{FF2B5EF4-FFF2-40B4-BE49-F238E27FC236}">
                  <a16:creationId xmlns:a16="http://schemas.microsoft.com/office/drawing/2014/main" id="{95705D51-D869-4078-B459-4F5BEE6508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5175250" y="3492500"/>
              <a:ext cx="2533650" cy="1524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247650</xdr:colOff>
      <xdr:row>18</xdr:row>
      <xdr:rowOff>25400</xdr:rowOff>
    </xdr:from>
    <xdr:to>
      <xdr:col>12</xdr:col>
      <xdr:colOff>381000</xdr:colOff>
      <xdr:row>19</xdr:row>
      <xdr:rowOff>57150</xdr:rowOff>
    </xdr:to>
    <xdr:sp macro="" textlink="">
      <xdr:nvSpPr>
        <xdr:cNvPr id="49" name="TextBox 48">
          <a:extLst>
            <a:ext uri="{FF2B5EF4-FFF2-40B4-BE49-F238E27FC236}">
              <a16:creationId xmlns:a16="http://schemas.microsoft.com/office/drawing/2014/main" id="{C39E1936-D6A9-40E3-6700-C3DF1CF6B15B}"/>
            </a:ext>
          </a:extLst>
        </xdr:cNvPr>
        <xdr:cNvSpPr txBox="1"/>
      </xdr:nvSpPr>
      <xdr:spPr>
        <a:xfrm>
          <a:off x="5734050" y="3340100"/>
          <a:ext cx="19621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REVENUE</a:t>
          </a:r>
          <a:r>
            <a:rPr lang="en-US" sz="1000" b="1" baseline="0"/>
            <a:t> BY STATES</a:t>
          </a:r>
          <a:endParaRPr lang="en-US" sz="1000" b="1"/>
        </a:p>
      </xdr:txBody>
    </xdr:sp>
    <xdr:clientData/>
  </xdr:twoCellAnchor>
  <xdr:twoCellAnchor>
    <xdr:from>
      <xdr:col>8</xdr:col>
      <xdr:colOff>247650</xdr:colOff>
      <xdr:row>8</xdr:row>
      <xdr:rowOff>50800</xdr:rowOff>
    </xdr:from>
    <xdr:to>
      <xdr:col>12</xdr:col>
      <xdr:colOff>438150</xdr:colOff>
      <xdr:row>17</xdr:row>
      <xdr:rowOff>114300</xdr:rowOff>
    </xdr:to>
    <xdr:graphicFrame macro="">
      <xdr:nvGraphicFramePr>
        <xdr:cNvPr id="50" name="Chart 49">
          <a:extLst>
            <a:ext uri="{FF2B5EF4-FFF2-40B4-BE49-F238E27FC236}">
              <a16:creationId xmlns:a16="http://schemas.microsoft.com/office/drawing/2014/main" id="{CEB9DDE7-D303-4AAF-BAF3-4FE07C49D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533400</xdr:colOff>
      <xdr:row>6</xdr:row>
      <xdr:rowOff>95250</xdr:rowOff>
    </xdr:from>
    <xdr:to>
      <xdr:col>12</xdr:col>
      <xdr:colOff>57150</xdr:colOff>
      <xdr:row>7</xdr:row>
      <xdr:rowOff>127000</xdr:rowOff>
    </xdr:to>
    <xdr:sp macro="" textlink="">
      <xdr:nvSpPr>
        <xdr:cNvPr id="51" name="TextBox 50">
          <a:extLst>
            <a:ext uri="{FF2B5EF4-FFF2-40B4-BE49-F238E27FC236}">
              <a16:creationId xmlns:a16="http://schemas.microsoft.com/office/drawing/2014/main" id="{9EC51E3D-0D0D-F7A6-B1E1-4EBE50155238}"/>
            </a:ext>
          </a:extLst>
        </xdr:cNvPr>
        <xdr:cNvSpPr txBox="1"/>
      </xdr:nvSpPr>
      <xdr:spPr>
        <a:xfrm>
          <a:off x="5410200" y="1200150"/>
          <a:ext cx="19621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baseline="0"/>
            <a:t>TOP 10 SALES BY SUB-CATEGORY</a:t>
          </a:r>
          <a:endParaRPr lang="en-US" sz="1000" b="1"/>
        </a:p>
      </xdr:txBody>
    </xdr:sp>
    <xdr:clientData/>
  </xdr:twoCellAnchor>
  <xdr:twoCellAnchor editAs="oneCell">
    <xdr:from>
      <xdr:col>0</xdr:col>
      <xdr:colOff>50800</xdr:colOff>
      <xdr:row>12</xdr:row>
      <xdr:rowOff>152400</xdr:rowOff>
    </xdr:from>
    <xdr:to>
      <xdr:col>1</xdr:col>
      <xdr:colOff>488950</xdr:colOff>
      <xdr:row>20</xdr:row>
      <xdr:rowOff>0</xdr:rowOff>
    </xdr:to>
    <mc:AlternateContent xmlns:mc="http://schemas.openxmlformats.org/markup-compatibility/2006" xmlns:a14="http://schemas.microsoft.com/office/drawing/2010/main">
      <mc:Choice Requires="a14">
        <xdr:graphicFrame macro="">
          <xdr:nvGraphicFramePr>
            <xdr:cNvPr id="52" name="Category">
              <a:extLst>
                <a:ext uri="{FF2B5EF4-FFF2-40B4-BE49-F238E27FC236}">
                  <a16:creationId xmlns:a16="http://schemas.microsoft.com/office/drawing/2014/main" id="{DA764C27-E816-21C1-B77D-C908EABFB2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800" y="2362200"/>
              <a:ext cx="1047750" cy="132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3</xdr:row>
      <xdr:rowOff>38100</xdr:rowOff>
    </xdr:from>
    <xdr:to>
      <xdr:col>1</xdr:col>
      <xdr:colOff>495300</xdr:colOff>
      <xdr:row>12</xdr:row>
      <xdr:rowOff>152400</xdr:rowOff>
    </xdr:to>
    <mc:AlternateContent xmlns:mc="http://schemas.openxmlformats.org/markup-compatibility/2006" xmlns:a14="http://schemas.microsoft.com/office/drawing/2010/main">
      <mc:Choice Requires="a14">
        <xdr:graphicFrame macro="">
          <xdr:nvGraphicFramePr>
            <xdr:cNvPr id="54" name="Years 2">
              <a:extLst>
                <a:ext uri="{FF2B5EF4-FFF2-40B4-BE49-F238E27FC236}">
                  <a16:creationId xmlns:a16="http://schemas.microsoft.com/office/drawing/2014/main" id="{BF436427-8E62-CB28-4FA9-60F3FF669D74}"/>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38100" y="590550"/>
              <a:ext cx="106680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191770</xdr:colOff>
      <xdr:row>0</xdr:row>
      <xdr:rowOff>0</xdr:rowOff>
    </xdr:from>
    <xdr:to>
      <xdr:col>1</xdr:col>
      <xdr:colOff>130810</xdr:colOff>
      <xdr:row>2</xdr:row>
      <xdr:rowOff>180340</xdr:rowOff>
    </xdr:to>
    <xdr:pic>
      <xdr:nvPicPr>
        <xdr:cNvPr id="56" name="Graphic 55" descr="Bank with solid fill">
          <a:extLst>
            <a:ext uri="{FF2B5EF4-FFF2-40B4-BE49-F238E27FC236}">
              <a16:creationId xmlns:a16="http://schemas.microsoft.com/office/drawing/2014/main" id="{7BC5D506-7CBF-1957-187E-9B6656BE176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91770" y="0"/>
          <a:ext cx="548640" cy="548640"/>
        </a:xfrm>
        <a:prstGeom prst="rect">
          <a:avLst/>
        </a:prstGeom>
      </xdr:spPr>
    </xdr:pic>
    <xdr:clientData/>
  </xdr:twoCellAnchor>
  <xdr:twoCellAnchor editAs="oneCell">
    <xdr:from>
      <xdr:col>0</xdr:col>
      <xdr:colOff>63500</xdr:colOff>
      <xdr:row>21</xdr:row>
      <xdr:rowOff>44450</xdr:rowOff>
    </xdr:from>
    <xdr:to>
      <xdr:col>1</xdr:col>
      <xdr:colOff>368300</xdr:colOff>
      <xdr:row>26</xdr:row>
      <xdr:rowOff>38100</xdr:rowOff>
    </xdr:to>
    <xdr:pic>
      <xdr:nvPicPr>
        <xdr:cNvPr id="58" name="Graphic 57" descr="Bar graph with upward trend with solid fill">
          <a:extLst>
            <a:ext uri="{FF2B5EF4-FFF2-40B4-BE49-F238E27FC236}">
              <a16:creationId xmlns:a16="http://schemas.microsoft.com/office/drawing/2014/main" id="{25295EB8-E06E-F550-57F1-5C06EA8036B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500" y="391160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lly" refreshedDate="45779.562307291664" createdVersion="6" refreshedVersion="6" minRefreshableVersion="3" recordCount="1194" xr:uid="{00000000-000A-0000-FFFF-FFFF05000000}">
  <cacheSource type="worksheet">
    <worksheetSource name="Table1"/>
  </cacheSource>
  <cacheFields count="14">
    <cacheField name="Order ID" numFmtId="0">
      <sharedItems count="547">
        <s v="B-26776"/>
        <s v="B-26942"/>
        <s v="B-26640"/>
        <s v="B-25890"/>
        <s v="B-25102"/>
        <s v="B-25426"/>
        <s v="B-25238"/>
        <s v="B-25051"/>
        <s v="B-26510"/>
        <s v="B-25104"/>
        <s v="B-25553"/>
        <s v="B-26703"/>
        <s v="B-26232"/>
        <s v="B-25394"/>
        <s v="B-26157"/>
        <s v="B-25555"/>
        <s v="B-26139"/>
        <s v="B-25032"/>
        <s v="B-25730"/>
        <s v="B-26470"/>
        <s v="B-25988"/>
        <s v="B-25568"/>
        <s v="B-26730"/>
        <s v="B-25372"/>
        <s v="B-26026"/>
        <s v="B-25295"/>
        <s v="B-26121"/>
        <s v="B-25560"/>
        <s v="B-26076"/>
        <s v="B-25872"/>
        <s v="B-26185"/>
        <s v="B-26259"/>
        <s v="B-25142"/>
        <s v="B-25326"/>
        <s v="B-26795"/>
        <s v="B-25660"/>
        <s v="B-25410"/>
        <s v="B-25690"/>
        <s v="B-26464"/>
        <s v="B-26454"/>
        <s v="B-26742"/>
        <s v="B-25510"/>
        <s v="B-25936"/>
        <s v="B-25884"/>
        <s v="B-26287"/>
        <s v="B-26564"/>
        <s v="B-26293"/>
        <s v="B-25915"/>
        <s v="B-26496"/>
        <s v="B-25856"/>
        <s v="B-26899"/>
        <s v="B-25916"/>
        <s v="B-26428"/>
        <s v="B-26332"/>
        <s v="B-25303"/>
        <s v="B-26507"/>
        <s v="B-25983"/>
        <s v="B-25156"/>
        <s v="B-26759"/>
        <s v="B-26244"/>
        <s v="B-26365"/>
        <s v="B-26212"/>
        <s v="B-25042"/>
        <s v="B-25901"/>
        <s v="B-26747"/>
        <s v="B-26698"/>
        <s v="B-25841"/>
        <s v="B-26032"/>
        <s v="B-25171"/>
        <s v="B-26939"/>
        <s v="B-26347"/>
        <s v="B-25388"/>
        <s v="B-26419"/>
        <s v="B-25157"/>
        <s v="B-25342"/>
        <s v="B-26165"/>
        <s v="B-26571"/>
        <s v="B-25400"/>
        <s v="B-25885"/>
        <s v="B-25004"/>
        <s v="B-26213"/>
        <s v="B-25025"/>
        <s v="B-26804"/>
        <s v="B-26797"/>
        <s v="B-26556"/>
        <s v="B-25861"/>
        <s v="B-25112"/>
        <s v="B-25223"/>
        <s v="B-25714"/>
        <s v="B-26607"/>
        <s v="B-25038"/>
        <s v="B-26672"/>
        <s v="B-25747"/>
        <s v="B-26322"/>
        <s v="B-26613"/>
        <s v="B-25413"/>
        <s v="B-26466"/>
        <s v="B-26610"/>
        <s v="B-26209"/>
        <s v="B-26622"/>
        <s v="B-26601"/>
        <s v="B-25894"/>
        <s v="B-26969"/>
        <s v="B-26312"/>
        <s v="B-26837"/>
        <s v="B-26166"/>
        <s v="B-25695"/>
        <s v="B-26068"/>
        <s v="B-26023"/>
        <s v="B-26677"/>
        <s v="B-25701"/>
        <s v="B-26523"/>
        <s v="B-25880"/>
        <s v="B-26898"/>
        <s v="B-26035"/>
        <s v="B-25573"/>
        <s v="B-25463"/>
        <s v="B-26277"/>
        <s v="B-26508"/>
        <s v="B-26723"/>
        <s v="B-25526"/>
        <s v="B-25645"/>
        <s v="B-25757"/>
        <s v="B-26716"/>
        <s v="B-25424"/>
        <s v="B-26453"/>
        <s v="B-26425"/>
        <s v="B-25843"/>
        <s v="B-25486"/>
        <s v="B-26975"/>
        <s v="B-26890"/>
        <s v="B-26125"/>
        <s v="B-26489"/>
        <s v="B-26043"/>
        <s v="B-26557"/>
        <s v="B-25243"/>
        <s v="B-26932"/>
        <s v="B-25241"/>
        <s v="B-25044"/>
        <s v="B-26137"/>
        <s v="B-25545"/>
        <s v="B-26800"/>
        <s v="B-26987"/>
        <s v="B-26144"/>
        <s v="B-25406"/>
        <s v="B-25658"/>
        <s v="B-25733"/>
        <s v="B-26993"/>
        <s v="B-26964"/>
        <s v="B-26955"/>
        <s v="B-26059"/>
        <s v="B-26806"/>
        <s v="B-26299"/>
        <s v="B-26743"/>
        <s v="B-26757"/>
        <s v="B-26772"/>
        <s v="B-26088"/>
        <s v="B-26319"/>
        <s v="B-25364"/>
        <s v="B-25655"/>
        <s v="B-26864"/>
        <s v="B-26019"/>
        <s v="B-25849"/>
        <s v="B-25829"/>
        <s v="B-26065"/>
        <s v="B-25267"/>
        <s v="B-25972"/>
        <s v="B-25511"/>
        <s v="B-25744"/>
        <s v="B-26805"/>
        <s v="B-25620"/>
        <s v="B-25325"/>
        <s v="B-25131"/>
        <s v="B-26654"/>
        <s v="B-26195"/>
        <s v="B-25842"/>
        <s v="B-25851"/>
        <s v="B-25427"/>
        <s v="B-26224"/>
        <s v="B-26896"/>
        <s v="B-26469"/>
        <s v="B-26219"/>
        <s v="B-26119"/>
        <s v="B-26988"/>
        <s v="B-25596"/>
        <s v="B-26845"/>
        <s v="B-25099"/>
        <s v="B-26153"/>
        <s v="B-25060"/>
        <s v="B-26572"/>
        <s v="B-25919"/>
        <s v="B-26978"/>
        <s v="B-26554"/>
        <s v="B-26883"/>
        <s v="B-25423"/>
        <s v="B-26324"/>
        <s v="B-26945"/>
        <s v="B-26405"/>
        <s v="B-26046"/>
        <s v="B-25746"/>
        <s v="B-25232"/>
        <s v="B-25591"/>
        <s v="B-26325"/>
        <s v="B-25251"/>
        <s v="B-25464"/>
        <s v="B-26678"/>
        <s v="B-25962"/>
        <s v="B-26586"/>
        <s v="B-26841"/>
        <s v="B-26284"/>
        <s v="B-26478"/>
        <s v="B-26679"/>
        <s v="B-26397"/>
        <s v="B-25957"/>
        <s v="B-26916"/>
        <s v="B-25925"/>
        <s v="B-25602"/>
        <s v="B-26592"/>
        <s v="B-26251"/>
        <s v="B-25979"/>
        <s v="B-25437"/>
        <s v="B-26986"/>
        <s v="B-25990"/>
        <s v="B-25222"/>
        <s v="B-26402"/>
        <s v="B-26792"/>
        <s v="B-25154"/>
        <s v="B-26114"/>
        <s v="B-26485"/>
        <s v="B-26191"/>
        <s v="B-26754"/>
        <s v="B-25953"/>
        <s v="B-26516"/>
        <s v="B-26843"/>
        <s v="B-26167"/>
        <s v="B-26972"/>
        <s v="B-25673"/>
        <s v="B-26587"/>
        <s v="B-26668"/>
        <s v="B-26906"/>
        <s v="B-25226"/>
        <s v="B-25166"/>
        <s v="B-25454"/>
        <s v="B-26215"/>
        <s v="B-25777"/>
        <s v="B-25383"/>
        <s v="B-26409"/>
        <s v="B-26684"/>
        <s v="B-26726"/>
        <s v="B-26136"/>
        <s v="B-26098"/>
        <s v="B-25430"/>
        <s v="B-25266"/>
        <s v="B-25283"/>
        <s v="B-25227"/>
        <s v="B-25669"/>
        <s v="B-25064"/>
        <s v="B-26268"/>
        <s v="B-25456"/>
        <s v="B-25495"/>
        <s v="B-26552"/>
        <s v="B-25203"/>
        <s v="B-25462"/>
        <s v="B-26145"/>
        <s v="B-25552"/>
        <s v="B-26069"/>
        <s v="B-25120"/>
        <s v="B-26146"/>
        <s v="B-25549"/>
        <s v="B-25488"/>
        <s v="B-26885"/>
        <s v="B-25703"/>
        <s v="B-25809"/>
        <s v="B-25477"/>
        <s v="B-26018"/>
        <s v="B-25329"/>
        <s v="B-25182"/>
        <s v="B-25492"/>
        <s v="B-25517"/>
        <s v="B-25200"/>
        <s v="B-26009"/>
        <s v="B-26580"/>
        <s v="B-25679"/>
        <s v="B-26034"/>
        <s v="B-25148"/>
        <s v="B-25830"/>
        <s v="B-25762"/>
        <s v="B-26794"/>
        <s v="B-25011"/>
        <s v="B-25515"/>
        <s v="B-25369"/>
        <s v="B-26222"/>
        <s v="B-25316"/>
        <s v="B-25507"/>
        <s v="B-25846"/>
        <s v="B-25763"/>
        <s v="B-25465"/>
        <s v="B-26352"/>
        <s v="B-26528"/>
        <s v="B-26670"/>
        <s v="B-25331"/>
        <s v="B-25832"/>
        <s v="B-25897"/>
        <s v="B-25713"/>
        <s v="B-25065"/>
        <s v="B-25949"/>
        <s v="B-26033"/>
        <s v="B-26017"/>
        <s v="B-26926"/>
        <s v="B-26258"/>
        <s v="B-26240"/>
        <s v="B-26922"/>
        <s v="B-26894"/>
        <s v="B-25330"/>
        <s v="B-26288"/>
        <s v="B-25228"/>
        <s v="B-26457"/>
        <s v="B-25790"/>
        <s v="B-25868"/>
        <s v="B-25381"/>
        <s v="B-25153"/>
        <s v="B-26576"/>
        <s v="B-26526"/>
        <s v="B-25819"/>
        <s v="B-25698"/>
        <s v="B-26820"/>
        <s v="B-25396"/>
        <s v="B-25529"/>
        <s v="B-26501"/>
        <s v="B-26910"/>
        <s v="B-25978"/>
        <s v="B-26537"/>
        <s v="B-25881"/>
        <s v="B-25237"/>
        <s v="B-26122"/>
        <s v="B-25709"/>
        <s v="B-26656"/>
        <s v="B-25801"/>
        <s v="B-25006"/>
        <s v="B-26106"/>
        <s v="B-25789"/>
        <s v="B-26292"/>
        <s v="B-25895"/>
        <s v="B-25813"/>
        <s v="B-26863"/>
        <s v="B-25759"/>
        <s v="B-26357"/>
        <s v="B-26819"/>
        <s v="B-25502"/>
        <s v="B-25258"/>
        <s v="B-26878"/>
        <s v="B-25170"/>
        <s v="B-26842"/>
        <s v="B-26599"/>
        <s v="B-25705"/>
        <s v="B-26366"/>
        <s v="B-26116"/>
        <s v="B-26443"/>
        <s v="B-25955"/>
        <s v="B-26383"/>
        <s v="B-26999"/>
        <s v="B-26712"/>
        <s v="B-26066"/>
        <s v="B-25996"/>
        <s v="B-26924"/>
        <s v="B-25541"/>
        <s v="B-25196"/>
        <s v="B-25855"/>
        <s v="B-25071"/>
        <s v="B-26159"/>
        <s v="B-26228"/>
        <s v="B-25888"/>
        <s v="B-25574"/>
        <s v="B-26938"/>
        <s v="B-26379"/>
        <s v="B-26623"/>
        <s v="B-25566"/>
        <s v="B-26740"/>
        <s v="B-25024"/>
        <s v="B-26367"/>
        <s v="B-26353"/>
        <s v="B-25742"/>
        <s v="B-26965"/>
        <s v="B-26038"/>
        <s v="B-25317"/>
        <s v="B-25970"/>
        <s v="B-25590"/>
        <s v="B-25580"/>
        <s v="B-25443"/>
        <s v="B-25774"/>
        <s v="B-26505"/>
        <s v="B-25163"/>
        <s v="B-26095"/>
        <s v="B-25768"/>
        <s v="B-25328"/>
        <s v="B-26573"/>
        <s v="B-25138"/>
        <s v="B-26803"/>
        <s v="B-25101"/>
        <s v="B-25827"/>
        <s v="B-25792"/>
        <s v="B-25646"/>
        <s v="B-25043"/>
        <s v="B-26598"/>
        <s v="B-26643"/>
        <s v="B-25992"/>
        <s v="B-25532"/>
        <s v="B-25564"/>
        <s v="B-26543"/>
        <s v="B-25976"/>
        <s v="B-25929"/>
        <s v="B-25497"/>
        <s v="B-26735"/>
        <s v="B-25036"/>
        <s v="B-25971"/>
        <s v="B-25441"/>
        <s v="B-25823"/>
        <s v="B-25363"/>
        <s v="B-26445"/>
        <s v="B-26724"/>
        <s v="B-25447"/>
        <s v="B-26904"/>
        <s v="B-26456"/>
        <s v="B-25435"/>
        <s v="B-26279"/>
        <s v="B-25770"/>
        <s v="B-25715"/>
        <s v="B-26961"/>
        <s v="B-25902"/>
        <s v="B-26321"/>
        <s v="B-25612"/>
        <s v="B-25605"/>
        <s v="B-25810"/>
        <s v="B-25935"/>
        <s v="B-26245"/>
        <s v="B-25346"/>
        <s v="B-25594"/>
        <s v="B-25471"/>
        <s v="B-25398"/>
        <s v="B-25999"/>
        <s v="B-25159"/>
        <s v="B-25496"/>
        <s v="B-25401"/>
        <s v="B-25707"/>
        <s v="B-26225"/>
        <s v="B-25662"/>
        <s v="B-26752"/>
        <s v="B-25640"/>
        <s v="B-25030"/>
        <s v="B-25504"/>
        <s v="B-26912"/>
        <s v="B-25193"/>
        <s v="B-25106"/>
        <s v="B-26835"/>
        <s v="B-25836"/>
        <s v="B-26661"/>
        <s v="B-26317"/>
        <s v="B-26839"/>
        <s v="B-25735"/>
        <s v="B-25387"/>
        <s v="B-25192"/>
        <s v="B-26844"/>
        <s v="B-25236"/>
        <s v="B-25940"/>
        <s v="B-26765"/>
        <s v="B-26817"/>
        <s v="B-26522"/>
        <s v="B-25681"/>
        <s v="B-25382"/>
        <s v="B-25944"/>
        <s v="B-26980"/>
        <s v="B-25780"/>
        <s v="B-25964"/>
        <s v="B-26767"/>
        <s v="B-25501"/>
        <s v="B-26029"/>
        <s v="B-25292"/>
        <s v="B-25873"/>
        <s v="B-25444"/>
        <s v="B-26796"/>
        <s v="B-25537"/>
        <s v="B-26083"/>
        <s v="B-25298"/>
        <s v="B-26734"/>
        <s v="B-25483"/>
        <s v="B-26041"/>
        <s v="B-26750"/>
        <s v="B-26138"/>
        <s v="B-26929"/>
        <s v="B-25359"/>
        <s v="B-25738"/>
        <s v="B-25931"/>
        <s v="B-25706"/>
        <s v="B-25352"/>
        <s v="B-26909"/>
        <s v="B-26296"/>
        <s v="B-26112"/>
        <s v="B-26790"/>
        <s v="B-25986"/>
        <s v="B-25630"/>
        <s v="B-26872"/>
        <s v="B-25870"/>
        <s v="B-25991"/>
        <s v="B-25198"/>
        <s v="B-25189"/>
        <s v="B-26563"/>
        <s v="B-25548"/>
        <s v="B-25965"/>
        <s v="B-26545"/>
        <s v="B-26603"/>
        <s v="B-26393"/>
        <s v="B-26628"/>
        <s v="B-25945"/>
        <s v="B-26565"/>
        <s v="B-25684"/>
        <s v="B-26612"/>
        <s v="B-25839"/>
        <s v="B-25898"/>
        <s v="B-26120"/>
        <s v="B-26426"/>
        <s v="B-26309"/>
        <s v="B-26789"/>
        <s v="B-26420"/>
        <s v="B-26257"/>
        <s v="B-25603"/>
        <s v="B-25010"/>
        <s v="B-25889"/>
        <s v="B-26675"/>
        <s v="B-26168"/>
        <s v="B-25436"/>
        <s v="B-25794"/>
        <s v="B-26495"/>
        <s v="B-25815"/>
        <s v="B-25022"/>
        <s v="B-26928"/>
        <s v="B-25905"/>
        <s v="B-26739"/>
        <s v="B-25697"/>
        <s v="B-25234"/>
        <s v="B-25665"/>
        <s v="B-25028"/>
        <s v="B-26659"/>
        <s v="B-25966"/>
        <s v="B-25350"/>
        <s v="B-26370"/>
        <s v="B-26298"/>
        <s v="B-25068"/>
      </sharedItems>
    </cacheField>
    <cacheField name="Amount" numFmtId="0">
      <sharedItems containsSemiMixedTypes="0" containsString="0" containsNumber="1" containsInteger="1" minValue="508" maxValue="9992"/>
    </cacheField>
    <cacheField name="Profit" numFmtId="0">
      <sharedItems containsSemiMixedTypes="0" containsString="0" containsNumber="1" containsInteger="1" minValue="50" maxValue="4930"/>
    </cacheField>
    <cacheField name="Quantity" numFmtId="0">
      <sharedItems containsSemiMixedTypes="0" containsString="0" containsNumber="1" containsInteger="1" minValue="1" maxValue="20"/>
    </cacheField>
    <cacheField name="Category" numFmtId="0">
      <sharedItems count="3">
        <s v="Electronics"/>
        <s v="Office Supplies"/>
        <s v="Furniture"/>
      </sharedItems>
    </cacheField>
    <cacheField name="Sub-Category" numFmtId="0">
      <sharedItems count="12">
        <s v="Electronic Games"/>
        <s v="Printers"/>
        <s v="Pens"/>
        <s v="Laptops"/>
        <s v="Tables"/>
        <s v="Chairs"/>
        <s v="Markers"/>
        <s v="Sofas"/>
        <s v="Paper"/>
        <s v="Binders"/>
        <s v="Phones"/>
        <s v="Bookcases"/>
      </sharedItems>
    </cacheField>
    <cacheField name="PaymentMode" numFmtId="0">
      <sharedItems count="5">
        <s v="UPI"/>
        <s v="Debit Card"/>
        <s v="EMI"/>
        <s v="Credit Card"/>
        <s v="COD"/>
      </sharedItems>
    </cacheField>
    <cacheField name="Order Date" numFmtId="14">
      <sharedItems containsSemiMixedTypes="0" containsNonDate="0" containsDate="1" containsString="0" minDate="2020-03-22T00:00:00" maxDate="2025-03-16T00:00:00" count="648">
        <d v="2023-06-27T00:00:00"/>
        <d v="2024-12-27T00:00:00"/>
        <d v="2021-07-25T00:00:00"/>
        <d v="2024-05-11T00:00:00"/>
        <d v="2021-10-09T00:00:00"/>
        <d v="2022-11-18T00:00:00"/>
        <d v="2023-11-12T00:00:00"/>
        <d v="2020-03-23T00:00:00"/>
        <d v="2020-05-04T00:00:00"/>
        <d v="2023-11-09T00:00:00"/>
        <d v="2024-12-30T00:00:00"/>
        <d v="2025-02-11T00:00:00"/>
        <d v="2024-01-23T00:00:00"/>
        <d v="2020-11-28T00:00:00"/>
        <d v="2024-05-30T00:00:00"/>
        <d v="2022-01-23T00:00:00"/>
        <d v="2021-12-17T00:00:00"/>
        <d v="2023-02-03T00:00:00"/>
        <d v="2022-10-30T00:00:00"/>
        <d v="2022-01-15T00:00:00"/>
        <d v="2023-12-14T00:00:00"/>
        <d v="2023-07-03T00:00:00"/>
        <d v="2021-05-08T00:00:00"/>
        <d v="2022-10-07T00:00:00"/>
        <d v="2024-08-06T00:00:00"/>
        <d v="2022-01-05T00:00:00"/>
        <d v="2020-10-17T00:00:00"/>
        <d v="2023-08-21T00:00:00"/>
        <d v="2021-06-18T00:00:00"/>
        <d v="2023-05-27T00:00:00"/>
        <d v="2021-10-12T00:00:00"/>
        <d v="2022-09-19T00:00:00"/>
        <d v="2022-03-25T00:00:00"/>
        <d v="2022-02-26T00:00:00"/>
        <d v="2021-04-05T00:00:00"/>
        <d v="2020-11-16T00:00:00"/>
        <d v="2024-12-12T00:00:00"/>
        <d v="2023-04-06T00:00:00"/>
        <d v="2024-01-28T00:00:00"/>
        <d v="2022-01-16T00:00:00"/>
        <d v="2022-12-16T00:00:00"/>
        <d v="2023-07-13T00:00:00"/>
        <d v="2025-03-10T00:00:00"/>
        <d v="2024-09-24T00:00:00"/>
        <d v="2020-04-13T00:00:00"/>
        <d v="2022-06-27T00:00:00"/>
        <d v="2021-03-14T00:00:00"/>
        <d v="2022-02-23T00:00:00"/>
        <d v="2022-03-29T00:00:00"/>
        <d v="2022-11-20T00:00:00"/>
        <d v="2021-11-12T00:00:00"/>
        <d v="2021-08-17T00:00:00"/>
        <d v="2022-05-16T00:00:00"/>
        <d v="2023-07-16T00:00:00"/>
        <d v="2020-08-18T00:00:00"/>
        <d v="2022-04-19T00:00:00"/>
        <d v="2022-12-23T00:00:00"/>
        <d v="2024-12-07T00:00:00"/>
        <d v="2022-02-03T00:00:00"/>
        <d v="2021-12-12T00:00:00"/>
        <d v="2020-05-17T00:00:00"/>
        <d v="2022-12-05T00:00:00"/>
        <d v="2024-09-17T00:00:00"/>
        <d v="2023-05-08T00:00:00"/>
        <d v="2021-03-03T00:00:00"/>
        <d v="2021-03-18T00:00:00"/>
        <d v="2023-04-24T00:00:00"/>
        <d v="2022-04-15T00:00:00"/>
        <d v="2022-08-29T00:00:00"/>
        <d v="2024-09-04T00:00:00"/>
        <d v="2021-05-18T00:00:00"/>
        <d v="2024-07-02T00:00:00"/>
        <d v="2024-02-16T00:00:00"/>
        <d v="2021-11-26T00:00:00"/>
        <d v="2024-02-01T00:00:00"/>
        <d v="2021-09-09T00:00:00"/>
        <d v="2021-09-08T00:00:00"/>
        <d v="2024-07-09T00:00:00"/>
        <d v="2023-02-28T00:00:00"/>
        <d v="2022-08-08T00:00:00"/>
        <d v="2022-12-07T00:00:00"/>
        <d v="2024-04-29T00:00:00"/>
        <d v="2022-01-02T00:00:00"/>
        <d v="2022-06-10T00:00:00"/>
        <d v="2021-11-16T00:00:00"/>
        <d v="2022-08-17T00:00:00"/>
        <d v="2021-11-23T00:00:00"/>
        <d v="2023-03-04T00:00:00"/>
        <d v="2023-12-16T00:00:00"/>
        <d v="2024-05-19T00:00:00"/>
        <d v="2020-05-14T00:00:00"/>
        <d v="2021-08-29T00:00:00"/>
        <d v="2024-11-10T00:00:00"/>
        <d v="2021-12-05T00:00:00"/>
        <d v="2024-07-05T00:00:00"/>
        <d v="2024-06-25T00:00:00"/>
        <d v="2024-05-31T00:00:00"/>
        <d v="2020-10-20T00:00:00"/>
        <d v="2022-08-11T00:00:00"/>
        <d v="2021-10-17T00:00:00"/>
        <d v="2023-09-20T00:00:00"/>
        <d v="2021-01-19T00:00:00"/>
        <d v="2020-08-21T00:00:00"/>
        <d v="2023-04-17T00:00:00"/>
        <d v="2023-12-24T00:00:00"/>
        <d v="2022-03-20T00:00:00"/>
        <d v="2021-08-12T00:00:00"/>
        <d v="2020-12-21T00:00:00"/>
        <d v="2023-07-07T00:00:00"/>
        <d v="2023-08-13T00:00:00"/>
        <d v="2021-02-04T00:00:00"/>
        <d v="2022-09-16T00:00:00"/>
        <d v="2022-05-06T00:00:00"/>
        <d v="2021-05-28T00:00:00"/>
        <d v="2024-07-18T00:00:00"/>
        <d v="2024-12-06T00:00:00"/>
        <d v="2022-12-12T00:00:00"/>
        <d v="2022-10-20T00:00:00"/>
        <d v="2021-03-24T00:00:00"/>
        <d v="2025-01-06T00:00:00"/>
        <d v="2021-03-06T00:00:00"/>
        <d v="2020-06-17T00:00:00"/>
        <d v="2023-09-01T00:00:00"/>
        <d v="2023-06-08T00:00:00"/>
        <d v="2021-03-25T00:00:00"/>
        <d v="2021-01-03T00:00:00"/>
        <d v="2022-08-12T00:00:00"/>
        <d v="2022-03-28T00:00:00"/>
        <d v="2023-07-15T00:00:00"/>
        <d v="2022-09-22T00:00:00"/>
        <d v="2022-12-20T00:00:00"/>
        <d v="2023-01-29T00:00:00"/>
        <d v="2024-03-24T00:00:00"/>
        <d v="2025-02-19T00:00:00"/>
        <d v="2024-07-13T00:00:00"/>
        <d v="2023-04-28T00:00:00"/>
        <d v="2020-12-05T00:00:00"/>
        <d v="2024-05-14T00:00:00"/>
        <d v="2022-01-18T00:00:00"/>
        <d v="2023-09-18T00:00:00"/>
        <d v="2021-05-12T00:00:00"/>
        <d v="2023-09-17T00:00:00"/>
        <d v="2024-09-06T00:00:00"/>
        <d v="2022-06-18T00:00:00"/>
        <d v="2020-05-22T00:00:00"/>
        <d v="2024-10-17T00:00:00"/>
        <d v="2022-03-22T00:00:00"/>
        <d v="2024-03-17T00:00:00"/>
        <d v="2020-04-02T00:00:00"/>
        <d v="2024-03-13T00:00:00"/>
        <d v="2023-03-21T00:00:00"/>
        <d v="2024-03-02T00:00:00"/>
        <d v="2021-04-30T00:00:00"/>
        <d v="2021-09-15T00:00:00"/>
        <d v="2023-01-28T00:00:00"/>
        <d v="2021-07-08T00:00:00"/>
        <d v="2020-04-08T00:00:00"/>
        <d v="2022-08-23T00:00:00"/>
        <d v="2022-12-17T00:00:00"/>
        <d v="2022-06-08T00:00:00"/>
        <d v="2020-08-28T00:00:00"/>
        <d v="2020-09-26T00:00:00"/>
        <d v="2020-12-13T00:00:00"/>
        <d v="2020-11-19T00:00:00"/>
        <d v="2023-09-13T00:00:00"/>
        <d v="2020-03-31T00:00:00"/>
        <d v="2023-08-04T00:00:00"/>
        <d v="2022-04-11T00:00:00"/>
        <d v="2021-12-31T00:00:00"/>
        <d v="2020-08-16T00:00:00"/>
        <d v="2025-02-02T00:00:00"/>
        <d v="2022-02-24T00:00:00"/>
        <d v="2024-02-25T00:00:00"/>
        <d v="2021-06-15T00:00:00"/>
        <d v="2022-12-08T00:00:00"/>
        <d v="2023-12-09T00:00:00"/>
        <d v="2022-07-16T00:00:00"/>
        <d v="2024-05-05T00:00:00"/>
        <d v="2021-10-04T00:00:00"/>
        <d v="2021-11-20T00:00:00"/>
        <d v="2020-09-15T00:00:00"/>
        <d v="2023-01-17T00:00:00"/>
        <d v="2020-06-16T00:00:00"/>
        <d v="2024-05-01T00:00:00"/>
        <d v="2023-12-07T00:00:00"/>
        <d v="2024-02-02T00:00:00"/>
        <d v="2024-06-23T00:00:00"/>
        <d v="2024-06-07T00:00:00"/>
        <d v="2023-10-13T00:00:00"/>
        <d v="2022-10-08T00:00:00"/>
        <d v="2023-10-27T00:00:00"/>
        <d v="2021-02-09T00:00:00"/>
        <d v="2020-11-03T00:00:00"/>
        <d v="2022-05-30T00:00:00"/>
        <d v="2024-06-16T00:00:00"/>
        <d v="2022-07-15T00:00:00"/>
        <d v="2021-07-18T00:00:00"/>
        <d v="2021-10-02T00:00:00"/>
        <d v="2024-04-16T00:00:00"/>
        <d v="2020-07-09T00:00:00"/>
        <d v="2020-07-25T00:00:00"/>
        <d v="2024-01-24T00:00:00"/>
        <d v="2021-11-13T00:00:00"/>
        <d v="2023-10-07T00:00:00"/>
        <d v="2021-10-23T00:00:00"/>
        <d v="2022-07-18T00:00:00"/>
        <d v="2024-08-23T00:00:00"/>
        <d v="2020-10-28T00:00:00"/>
        <d v="2024-06-15T00:00:00"/>
        <d v="2024-12-19T00:00:00"/>
        <d v="2020-09-04T00:00:00"/>
        <d v="2022-04-16T00:00:00"/>
        <d v="2024-08-29T00:00:00"/>
        <d v="2022-01-14T00:00:00"/>
        <d v="2024-04-07T00:00:00"/>
        <d v="2022-04-24T00:00:00"/>
        <d v="2020-08-27T00:00:00"/>
        <d v="2023-03-01T00:00:00"/>
        <d v="2020-10-02T00:00:00"/>
        <d v="2020-06-23T00:00:00"/>
        <d v="2022-08-01T00:00:00"/>
        <d v="2020-07-16T00:00:00"/>
        <d v="2020-05-02T00:00:00"/>
        <d v="2024-01-10T00:00:00"/>
        <d v="2020-09-30T00:00:00"/>
        <d v="2021-01-30T00:00:00"/>
        <d v="2025-03-14T00:00:00"/>
        <d v="2021-10-26T00:00:00"/>
        <d v="2023-01-11T00:00:00"/>
        <d v="2021-10-31T00:00:00"/>
        <d v="2023-05-04T00:00:00"/>
        <d v="2024-08-09T00:00:00"/>
        <d v="2022-08-21T00:00:00"/>
        <d v="2022-06-19T00:00:00"/>
        <d v="2025-01-29T00:00:00"/>
        <d v="2023-06-15T00:00:00"/>
        <d v="2023-10-18T00:00:00"/>
        <d v="2022-06-13T00:00:00"/>
        <d v="2024-06-12T00:00:00"/>
        <d v="2021-02-18T00:00:00"/>
        <d v="2023-05-29T00:00:00"/>
        <d v="2021-06-04T00:00:00"/>
        <d v="2024-01-22T00:00:00"/>
        <d v="2022-12-27T00:00:00"/>
        <d v="2024-03-30T00:00:00"/>
        <d v="2020-04-04T00:00:00"/>
        <d v="2023-01-22T00:00:00"/>
        <d v="2022-04-12T00:00:00"/>
        <d v="2023-12-13T00:00:00"/>
        <d v="2023-05-24T00:00:00"/>
        <d v="2020-11-29T00:00:00"/>
        <d v="2020-08-19T00:00:00"/>
        <d v="2024-12-26T00:00:00"/>
        <d v="2021-12-03T00:00:00"/>
        <d v="2021-09-14T00:00:00"/>
        <d v="2021-09-30T00:00:00"/>
        <d v="2021-12-22T00:00:00"/>
        <d v="2022-05-18T00:00:00"/>
        <d v="2020-10-08T00:00:00"/>
        <d v="2022-08-20T00:00:00"/>
        <d v="2024-11-25T00:00:00"/>
        <d v="2025-02-20T00:00:00"/>
        <d v="2025-03-07T00:00:00"/>
        <d v="2020-11-21T00:00:00"/>
        <d v="2024-10-01T00:00:00"/>
        <d v="2024-07-01T00:00:00"/>
        <d v="2020-11-23T00:00:00"/>
        <d v="2023-03-18T00:00:00"/>
        <d v="2022-10-19T00:00:00"/>
        <d v="2023-08-31T00:00:00"/>
        <d v="2021-06-06T00:00:00"/>
        <d v="2022-12-21T00:00:00"/>
        <d v="2024-02-12T00:00:00"/>
        <d v="2021-04-04T00:00:00"/>
        <d v="2021-02-12T00:00:00"/>
        <d v="2024-01-19T00:00:00"/>
        <d v="2022-12-25T00:00:00"/>
        <d v="2022-10-06T00:00:00"/>
        <d v="2020-04-27T00:00:00"/>
        <d v="2024-05-13T00:00:00"/>
        <d v="2020-10-23T00:00:00"/>
        <d v="2021-06-11T00:00:00"/>
        <d v="2022-11-23T00:00:00"/>
        <d v="2022-10-31T00:00:00"/>
        <d v="2023-11-06T00:00:00"/>
        <d v="2023-06-26T00:00:00"/>
        <d v="2023-09-30T00:00:00"/>
        <d v="2020-09-12T00:00:00"/>
        <d v="2020-11-27T00:00:00"/>
        <d v="2022-08-25T00:00:00"/>
        <d v="2023-08-23T00:00:00"/>
        <d v="2023-10-11T00:00:00"/>
        <d v="2022-04-21T00:00:00"/>
        <d v="2023-09-14T00:00:00"/>
        <d v="2020-04-29T00:00:00"/>
        <d v="2020-12-15T00:00:00"/>
        <d v="2024-07-11T00:00:00"/>
        <d v="2024-09-21T00:00:00"/>
        <d v="2022-10-21T00:00:00"/>
        <d v="2020-10-21T00:00:00"/>
        <d v="2022-01-11T00:00:00"/>
        <d v="2021-02-17T00:00:00"/>
        <d v="2021-11-06T00:00:00"/>
        <d v="2022-08-30T00:00:00"/>
        <d v="2023-06-04T00:00:00"/>
        <d v="2022-05-13T00:00:00"/>
        <d v="2023-01-23T00:00:00"/>
        <d v="2025-03-08T00:00:00"/>
        <d v="2024-04-24T00:00:00"/>
        <d v="2021-12-24T00:00:00"/>
        <d v="2023-09-07T00:00:00"/>
        <d v="2021-08-10T00:00:00"/>
        <d v="2024-05-26T00:00:00"/>
        <d v="2022-02-19T00:00:00"/>
        <d v="2024-12-09T00:00:00"/>
        <d v="2023-06-01T00:00:00"/>
        <d v="2023-11-05T00:00:00"/>
        <d v="2020-06-21T00:00:00"/>
        <d v="2020-10-26T00:00:00"/>
        <d v="2022-06-06T00:00:00"/>
        <d v="2021-11-11T00:00:00"/>
        <d v="2021-07-31T00:00:00"/>
        <d v="2024-04-13T00:00:00"/>
        <d v="2024-03-23T00:00:00"/>
        <d v="2021-05-07T00:00:00"/>
        <d v="2021-08-09T00:00:00"/>
        <d v="2025-02-09T00:00:00"/>
        <d v="2024-04-23T00:00:00"/>
        <d v="2023-02-23T00:00:00"/>
        <d v="2024-06-06T00:00:00"/>
        <d v="2025-01-27T00:00:00"/>
        <d v="2023-04-07T00:00:00"/>
        <d v="2022-01-20T00:00:00"/>
        <d v="2022-05-10T00:00:00"/>
        <d v="2024-05-29T00:00:00"/>
        <d v="2022-01-04T00:00:00"/>
        <d v="2024-05-02T00:00:00"/>
        <d v="2021-12-28T00:00:00"/>
        <d v="2023-08-17T00:00:00"/>
        <d v="2021-11-29T00:00:00"/>
        <d v="2021-06-13T00:00:00"/>
        <d v="2022-07-04T00:00:00"/>
        <d v="2021-06-27T00:00:00"/>
        <d v="2023-12-04T00:00:00"/>
        <d v="2022-08-09T00:00:00"/>
        <d v="2023-10-20T00:00:00"/>
        <d v="2022-02-10T00:00:00"/>
        <d v="2023-10-05T00:00:00"/>
        <d v="2021-04-03T00:00:00"/>
        <d v="2021-05-03T00:00:00"/>
        <d v="2024-02-11T00:00:00"/>
        <d v="2025-02-04T00:00:00"/>
        <d v="2022-10-12T00:00:00"/>
        <d v="2022-02-06T00:00:00"/>
        <d v="2020-11-09T00:00:00"/>
        <d v="2023-05-03T00:00:00"/>
        <d v="2022-10-04T00:00:00"/>
        <d v="2024-08-21T00:00:00"/>
        <d v="2020-05-13T00:00:00"/>
        <d v="2021-01-21T00:00:00"/>
        <d v="2022-02-28T00:00:00"/>
        <d v="2024-04-25T00:00:00"/>
        <d v="2023-03-10T00:00:00"/>
        <d v="2023-07-10T00:00:00"/>
        <d v="2024-07-28T00:00:00"/>
        <d v="2023-07-30T00:00:00"/>
        <d v="2024-10-05T00:00:00"/>
        <d v="2024-02-20T00:00:00"/>
        <d v="2023-04-19T00:00:00"/>
        <d v="2023-10-29T00:00:00"/>
        <d v="2022-03-08T00:00:00"/>
        <d v="2024-07-27T00:00:00"/>
        <d v="2022-07-05T00:00:00"/>
        <d v="2024-07-04T00:00:00"/>
        <d v="2024-02-28T00:00:00"/>
        <d v="2025-01-03T00:00:00"/>
        <d v="2021-12-07T00:00:00"/>
        <d v="2021-12-14T00:00:00"/>
        <d v="2020-11-30T00:00:00"/>
        <d v="2021-12-29T00:00:00"/>
        <d v="2024-07-08T00:00:00"/>
        <d v="2021-02-10T00:00:00"/>
        <d v="2023-12-28T00:00:00"/>
        <d v="2022-08-10T00:00:00"/>
        <d v="2023-10-17T00:00:00"/>
        <d v="2024-05-24T00:00:00"/>
        <d v="2024-02-10T00:00:00"/>
        <d v="2021-02-06T00:00:00"/>
        <d v="2022-03-16T00:00:00"/>
        <d v="2020-05-24T00:00:00"/>
        <d v="2025-02-16T00:00:00"/>
        <d v="2024-09-08T00:00:00"/>
        <d v="2022-06-29T00:00:00"/>
        <d v="2022-11-03T00:00:00"/>
        <d v="2023-11-28T00:00:00"/>
        <d v="2020-04-25T00:00:00"/>
        <d v="2022-03-23T00:00:00"/>
        <d v="2020-06-24T00:00:00"/>
        <d v="2024-11-24T00:00:00"/>
        <d v="2020-11-06T00:00:00"/>
        <d v="2023-10-24T00:00:00"/>
        <d v="2023-07-18T00:00:00"/>
        <d v="2022-10-22T00:00:00"/>
        <d v="2023-07-17T00:00:00"/>
        <d v="2025-02-24T00:00:00"/>
        <d v="2021-03-07T00:00:00"/>
        <d v="2023-10-25T00:00:00"/>
        <d v="2023-04-02T00:00:00"/>
        <d v="2024-10-21T00:00:00"/>
        <d v="2021-07-09T00:00:00"/>
        <d v="2022-04-08T00:00:00"/>
        <d v="2022-04-30T00:00:00"/>
        <d v="2023-01-20T00:00:00"/>
        <d v="2024-11-17T00:00:00"/>
        <d v="2022-04-23T00:00:00"/>
        <d v="2025-02-18T00:00:00"/>
        <d v="2021-05-27T00:00:00"/>
        <d v="2022-01-17T00:00:00"/>
        <d v="2025-01-15T00:00:00"/>
        <d v="2021-02-14T00:00:00"/>
        <d v="2024-08-31T00:00:00"/>
        <d v="2022-12-26T00:00:00"/>
        <d v="2024-03-21T00:00:00"/>
        <d v="2022-07-17T00:00:00"/>
        <d v="2024-12-05T00:00:00"/>
        <d v="2023-11-02T00:00:00"/>
        <d v="2022-11-13T00:00:00"/>
        <d v="2022-12-28T00:00:00"/>
        <d v="2025-02-26T00:00:00"/>
        <d v="2022-11-12T00:00:00"/>
        <d v="2021-06-07T00:00:00"/>
        <d v="2024-04-10T00:00:00"/>
        <d v="2023-12-21T00:00:00"/>
        <d v="2024-11-21T00:00:00"/>
        <d v="2022-03-17T00:00:00"/>
        <d v="2023-05-14T00:00:00"/>
        <d v="2024-10-07T00:00:00"/>
        <d v="2020-09-08T00:00:00"/>
        <d v="2021-08-19T00:00:00"/>
        <d v="2020-05-23T00:00:00"/>
        <d v="2020-04-18T00:00:00"/>
        <d v="2022-06-04T00:00:00"/>
        <d v="2022-11-16T00:00:00"/>
        <d v="2020-08-10T00:00:00"/>
        <d v="2024-06-22T00:00:00"/>
        <d v="2020-07-13T00:00:00"/>
        <d v="2021-03-13T00:00:00"/>
        <d v="2023-04-01T00:00:00"/>
        <d v="2020-11-10T00:00:00"/>
        <d v="2022-09-03T00:00:00"/>
        <d v="2020-10-01T00:00:00"/>
        <d v="2022-05-27T00:00:00"/>
        <d v="2024-03-10T00:00:00"/>
        <d v="2022-08-28T00:00:00"/>
        <d v="2021-04-27T00:00:00"/>
        <d v="2021-08-21T00:00:00"/>
        <d v="2021-05-16T00:00:00"/>
        <d v="2022-02-15T00:00:00"/>
        <d v="2023-11-30T00:00:00"/>
        <d v="2023-01-12T00:00:00"/>
        <d v="2023-05-19T00:00:00"/>
        <d v="2024-02-19T00:00:00"/>
        <d v="2021-12-01T00:00:00"/>
        <d v="2023-01-18T00:00:00"/>
        <d v="2020-12-23T00:00:00"/>
        <d v="2021-02-28T00:00:00"/>
        <d v="2020-04-22T00:00:00"/>
        <d v="2021-08-13T00:00:00"/>
        <d v="2023-07-20T00:00:00"/>
        <d v="2023-03-14T00:00:00"/>
        <d v="2023-11-07T00:00:00"/>
        <d v="2024-10-31T00:00:00"/>
        <d v="2021-10-29T00:00:00"/>
        <d v="2023-12-27T00:00:00"/>
        <d v="2023-06-25T00:00:00"/>
        <d v="2020-09-01T00:00:00"/>
        <d v="2025-02-01T00:00:00"/>
        <d v="2023-07-22T00:00:00"/>
        <d v="2022-02-04T00:00:00"/>
        <d v="2023-09-27T00:00:00"/>
        <d v="2025-01-30T00:00:00"/>
        <d v="2021-03-28T00:00:00"/>
        <d v="2021-12-25T00:00:00"/>
        <d v="2024-11-22T00:00:00"/>
        <d v="2024-10-08T00:00:00"/>
        <d v="2020-12-16T00:00:00"/>
        <d v="2025-03-15T00:00:00"/>
        <d v="2020-09-21T00:00:00"/>
        <d v="2025-01-11T00:00:00"/>
        <d v="2021-10-20T00:00:00"/>
        <d v="2021-10-19T00:00:00"/>
        <d v="2024-07-07T00:00:00"/>
        <d v="2023-07-25T00:00:00"/>
        <d v="2020-04-16T00:00:00"/>
        <d v="2020-07-04T00:00:00"/>
        <d v="2023-11-25T00:00:00"/>
        <d v="2023-07-02T00:00:00"/>
        <d v="2020-08-24T00:00:00"/>
        <d v="2022-11-07T00:00:00"/>
        <d v="2024-03-27T00:00:00"/>
        <d v="2024-09-01T00:00:00"/>
        <d v="2022-02-22T00:00:00"/>
        <d v="2022-02-11T00:00:00"/>
        <d v="2023-07-05T00:00:00"/>
        <d v="2020-10-27T00:00:00"/>
        <d v="2023-01-26T00:00:00"/>
        <d v="2021-09-06T00:00:00"/>
        <d v="2024-07-30T00:00:00"/>
        <d v="2022-03-15T00:00:00"/>
        <d v="2024-03-15T00:00:00"/>
        <d v="2022-07-23T00:00:00"/>
        <d v="2024-09-13T00:00:00"/>
        <d v="2022-01-25T00:00:00"/>
        <d v="2021-04-19T00:00:00"/>
        <d v="2022-06-24T00:00:00"/>
        <d v="2024-06-08T00:00:00"/>
        <d v="2022-09-29T00:00:00"/>
        <d v="2023-05-10T00:00:00"/>
        <d v="2021-04-12T00:00:00"/>
        <d v="2023-11-04T00:00:00"/>
        <d v="2023-09-10T00:00:00"/>
        <d v="2024-01-05T00:00:00"/>
        <d v="2024-05-08T00:00:00"/>
        <d v="2020-09-10T00:00:00"/>
        <d v="2020-07-12T00:00:00"/>
        <d v="2023-02-17T00:00:00"/>
        <d v="2021-07-21T00:00:00"/>
        <d v="2020-12-31T00:00:00"/>
        <d v="2023-04-05T00:00:00"/>
        <d v="2024-12-29T00:00:00"/>
        <d v="2020-08-11T00:00:00"/>
        <d v="2024-03-04T00:00:00"/>
        <d v="2023-07-28T00:00:00"/>
        <d v="2021-11-27T00:00:00"/>
        <d v="2020-09-09T00:00:00"/>
        <d v="2021-06-02T00:00:00"/>
        <d v="2022-08-22T00:00:00"/>
        <d v="2021-03-12T00:00:00"/>
        <d v="2024-06-26T00:00:00"/>
        <d v="2023-12-08T00:00:00"/>
        <d v="2024-11-27T00:00:00"/>
        <d v="2022-01-10T00:00:00"/>
        <d v="2021-11-01T00:00:00"/>
        <d v="2023-10-28T00:00:00"/>
        <d v="2025-03-01T00:00:00"/>
        <d v="2024-08-01T00:00:00"/>
        <d v="2023-06-07T00:00:00"/>
        <d v="2021-01-04T00:00:00"/>
        <d v="2024-12-14T00:00:00"/>
        <d v="2022-07-25T00:00:00"/>
        <d v="2022-05-07T00:00:00"/>
        <d v="2022-09-12T00:00:00"/>
        <d v="2023-08-20T00:00:00"/>
        <d v="2020-12-27T00:00:00"/>
        <d v="2023-09-04T00:00:00"/>
        <d v="2022-01-08T00:00:00"/>
        <d v="2023-06-05T00:00:00"/>
        <d v="2021-04-01T00:00:00"/>
        <d v="2024-05-28T00:00:00"/>
        <d v="2023-03-09T00:00:00"/>
        <d v="2022-07-28T00:00:00"/>
        <d v="2021-06-17T00:00:00"/>
        <d v="2024-02-13T00:00:00"/>
        <d v="2021-08-06T00:00:00"/>
        <d v="2022-05-01T00:00:00"/>
        <d v="2024-03-11T00:00:00"/>
        <d v="2020-07-06T00:00:00"/>
        <d v="2020-12-17T00:00:00"/>
        <d v="2025-02-27T00:00:00"/>
        <d v="2021-06-05T00:00:00"/>
        <d v="2022-12-22T00:00:00"/>
        <d v="2025-01-25T00:00:00"/>
        <d v="2025-02-14T00:00:00"/>
        <d v="2023-01-06T00:00:00"/>
        <d v="2020-10-11T00:00:00"/>
        <d v="2024-03-12T00:00:00"/>
        <d v="2022-05-17T00:00:00"/>
        <d v="2021-08-24T00:00:00"/>
        <d v="2024-02-21T00:00:00"/>
        <d v="2022-05-15T00:00:00"/>
        <d v="2022-07-22T00:00:00"/>
        <d v="2021-12-13T00:00:00"/>
        <d v="2021-06-03T00:00:00"/>
        <d v="2023-02-02T00:00:00"/>
        <d v="2022-06-05T00:00:00"/>
        <d v="2020-05-11T00:00:00"/>
        <d v="2020-11-25T00:00:00"/>
        <d v="2023-08-12T00:00:00"/>
        <d v="2024-01-17T00:00:00"/>
        <d v="2021-11-24T00:00:00"/>
        <d v="2021-10-06T00:00:00"/>
        <d v="2022-05-23T00:00:00"/>
        <d v="2021-02-22T00:00:00"/>
        <d v="2020-06-07T00:00:00"/>
        <d v="2024-05-21T00:00:00"/>
        <d v="2020-08-05T00:00:00"/>
        <d v="2020-10-15T00:00:00"/>
        <d v="2021-05-15T00:00:00"/>
        <d v="2022-01-13T00:00:00"/>
        <d v="2023-11-18T00:00:00"/>
        <d v="2022-01-19T00:00:00"/>
        <d v="2024-08-07T00:00:00"/>
        <d v="2022-07-26T00:00:00"/>
        <d v="2024-01-13T00:00:00"/>
        <d v="2023-04-25T00:00:00"/>
        <d v="2021-07-05T00:00:00"/>
        <d v="2024-10-12T00:00:00"/>
        <d v="2024-02-07T00:00:00"/>
        <d v="2021-03-05T00:00:00"/>
        <d v="2021-08-02T00:00:00"/>
        <d v="2022-08-19T00:00:00"/>
        <d v="2024-09-19T00:00:00"/>
        <d v="2020-04-05T00:00:00"/>
        <d v="2023-03-16T00:00:00"/>
        <d v="2024-10-15T00:00:00"/>
        <d v="2022-06-09T00:00:00"/>
        <d v="2023-04-09T00:00:00"/>
        <d v="2023-11-24T00:00:00"/>
        <d v="2023-11-29T00:00:00"/>
        <d v="2024-05-20T00:00:00"/>
        <d v="2022-07-13T00:00:00"/>
        <d v="2020-04-19T00:00:00"/>
        <d v="2024-11-14T00:00:00"/>
        <d v="2021-03-21T00:00:00"/>
        <d v="2023-05-31T00:00:00"/>
        <d v="2025-01-14T00:00:00"/>
        <d v="2020-12-24T00:00:00"/>
        <d v="2021-10-05T00:00:00"/>
        <d v="2024-12-28T00:00:00"/>
        <d v="2022-05-14T00:00:00"/>
        <d v="2023-08-19T00:00:00"/>
        <d v="2023-07-14T00:00:00"/>
        <d v="2023-06-22T00:00:00"/>
        <d v="2021-05-25T00:00:00"/>
        <d v="2024-04-02T00:00:00"/>
        <d v="2022-12-03T00:00:00"/>
        <d v="2021-07-12T00:00:00"/>
        <d v="2020-03-22T00:00:00"/>
        <d v="2020-08-09T00:00:00"/>
        <d v="2022-02-18T00:00:00"/>
        <d v="2021-06-14T00:00:00"/>
        <d v="2021-03-01T00:00:00"/>
        <d v="2023-09-23T00:00:00"/>
        <d v="2024-07-31T00:00:00"/>
        <d v="2020-06-02T00:00:00"/>
        <d v="2022-12-15T00:00:00"/>
        <d v="2020-08-07T00:00:00"/>
        <d v="2024-10-26T00:00:00"/>
      </sharedItems>
      <fieldGroup par="13" base="7">
        <rangePr groupBy="months" startDate="2020-03-22T00:00:00" endDate="2025-03-16T00:00:00"/>
        <groupItems count="14">
          <s v="&lt;3/22/2020"/>
          <s v="Jan"/>
          <s v="Feb"/>
          <s v="Mar"/>
          <s v="Apr"/>
          <s v="May"/>
          <s v="Jun"/>
          <s v="Jul"/>
          <s v="Aug"/>
          <s v="Sep"/>
          <s v="Oct"/>
          <s v="Nov"/>
          <s v="Dec"/>
          <s v="&gt;3/16/2025"/>
        </groupItems>
      </fieldGroup>
    </cacheField>
    <cacheField name="CustomerName" numFmtId="0">
      <sharedItems count="802">
        <s v="David Padilla"/>
        <s v="Connor Morgan"/>
        <s v="Robert Stone"/>
        <s v="John Fields"/>
        <s v="Clayton Smith"/>
        <s v="Richard Kelley"/>
        <s v="Jacqueline Hubbard"/>
        <s v="Jessica Anderson"/>
        <s v="Mary Taylor"/>
        <s v="Walter Crawford"/>
        <s v="Lawrence Robinson"/>
        <s v="Douglas Pennington"/>
        <s v="Ricardo Andrews"/>
        <s v="Paul Raymond"/>
        <s v="Karen Johnson"/>
        <s v="Juan Erickson"/>
        <s v="Alexander Reed"/>
        <s v="Jacqueline Harris"/>
        <s v="Tyler Park"/>
        <s v="Richard Wolfe"/>
        <s v="Sierra Rios"/>
        <s v="Jessica Richardson"/>
        <s v="Kimberly Warren"/>
        <s v="Casey Garcia"/>
        <s v="Denise Hampton"/>
        <s v="Justin Rodriguez"/>
        <s v="Ms. Emily Baxter"/>
        <s v="Austin White"/>
        <s v="Morgan Montes"/>
        <s v="Christine Mosley"/>
        <s v="Ashley Rodriguez"/>
        <s v="Elizabeth King"/>
        <s v="Connie Holmes"/>
        <s v="Melissa Peck"/>
        <s v="David Smith"/>
        <s v="Heather Jenkins"/>
        <s v="Kelsey Castaneda"/>
        <s v="Katherine Harris"/>
        <s v="Paul Rogers"/>
        <s v="Jon Banks"/>
        <s v="Michelle Williams"/>
        <s v="Andrew Allen"/>
        <s v="Vanessa Bauer"/>
        <s v="Sean Smith"/>
        <s v="Shelly Sweeney"/>
        <s v="Emily Gill"/>
        <s v="Brian Patrick"/>
        <s v="Dr. Sarah Booth"/>
        <s v="Douglas Mcfarland"/>
        <s v="Kayla Ross"/>
        <s v="Marc Strickland"/>
        <s v="Charlene Brown"/>
        <s v="Charles Smith"/>
        <s v="Karen Townsend"/>
        <s v="Steven Cox"/>
        <s v="Cynthia Rodriguez"/>
        <s v="Jessica Baker"/>
        <s v="Mark Blackburn"/>
        <s v="Zachary Perez"/>
        <s v="Brian Green"/>
        <s v="Becky Leach"/>
        <s v="Bryan Russell"/>
        <s v="Tony Maddox"/>
        <s v="Jason Randolph"/>
        <s v="Laura Andrews"/>
        <s v="Mrs. Stephanie Hooper"/>
        <s v="Anthony Evans"/>
        <s v="Patrick Williams"/>
        <s v="Susan Burke"/>
        <s v="Brent Hernandez"/>
        <s v="Sean Elliott"/>
        <s v="Wanda West"/>
        <s v="Renee Solomon"/>
        <s v="Daryl Miles"/>
        <s v="Michael Hunt"/>
        <s v="Adam Clark"/>
        <s v="Amy Olsen"/>
        <s v="Stacey Miller"/>
        <s v="Daniel Mosley"/>
        <s v="Monica Gibson"/>
        <s v="Christopher Jordan"/>
        <s v="Christina Davis"/>
        <s v="Claudia Curry"/>
        <s v="Brandon Anderson"/>
        <s v="George Foster"/>
        <s v="Nicholas Anderson"/>
        <s v="Emily Ellison"/>
        <s v="Darren Perez"/>
        <s v="Michelle Hunter"/>
        <s v="Janet Guerrero"/>
        <s v="Jeffrey Kline"/>
        <s v="Ryan Bullock"/>
        <s v="Tom Lawson"/>
        <s v="Rebecca Smith"/>
        <s v="William Welch"/>
        <s v="Mr. Curtis Bailey"/>
        <s v="Janet Carlson"/>
        <s v="Spencer Spears"/>
        <s v="Jeffrey Middleton"/>
        <s v="Veronica Kelley"/>
        <s v="Leslie Bean"/>
        <s v="Amy Wilson"/>
        <s v="Susan Ramirez"/>
        <s v="Jacob Meyer"/>
        <s v="Scott Lewis"/>
        <s v="Eric Griffith"/>
        <s v="Anna Ferguson"/>
        <s v="David Figueroa"/>
        <s v="Theresa Medina"/>
        <s v="Mary Smith"/>
        <s v="Lance Cain"/>
        <s v="Alexandra Moran"/>
        <s v="Sara Castro"/>
        <s v="Shawn Leach"/>
        <s v="Mark Boyle"/>
        <s v="John Stevens"/>
        <s v="Lisa Graham"/>
        <s v="Nancy Jones"/>
        <s v="Darryl Robbins"/>
        <s v="Kimberly Smith"/>
        <s v="Maria Thomas"/>
        <s v="Nicholas Johnson"/>
        <s v="Dawn Howard"/>
        <s v="Jennifer Marshall"/>
        <s v="Frank Garcia"/>
        <s v="Terri Madden"/>
        <s v="James Gutierrez"/>
        <s v="Morgan Sellers"/>
        <s v="Caitlin Thomas"/>
        <s v="Kimberly Greene"/>
        <s v="Tammy Anthony"/>
        <s v="Jennifer Chase"/>
        <s v="Cassandra Farley"/>
        <s v="Justin Vasquez"/>
        <s v="Melissa Morales"/>
        <s v="Tyler Thompson"/>
        <s v="Heidi Davis"/>
        <s v="Charles Lane"/>
        <s v="Joyce Good MD"/>
        <s v="Maria Miller"/>
        <s v="Terry Mcdaniel"/>
        <s v="Lisa Jacobs"/>
        <s v="Jeff Duncan"/>
        <s v="Pamela Jones"/>
        <s v="Renee Robinson"/>
        <s v="Jessica Kidd"/>
        <s v="Nicholas Martin"/>
        <s v="David Brown"/>
        <s v="Amber Moore"/>
        <s v="James Williams"/>
        <s v="Karina Barr"/>
        <s v="Meghan Rush"/>
        <s v="Bianca Brown"/>
        <s v="Timothy Jensen"/>
        <s v="Melinda Montoya"/>
        <s v="Tammy Bell"/>
        <s v="Connie Richards"/>
        <s v="Peter Ward"/>
        <s v="Jonathan Alvarez"/>
        <s v="Becky Hodges"/>
        <s v="Larry Hill"/>
        <s v="Amber Moon"/>
        <s v="Cynthia Wilcox"/>
        <s v="Rebecca Wright"/>
        <s v="Sarah Flores"/>
        <s v="Carol Norman"/>
        <s v="Stephanie Gardner"/>
        <s v="Philip Baker"/>
        <s v="Randall Dennis"/>
        <s v="Suzanne Cross"/>
        <s v="Jasmine Delgado"/>
        <s v="Kristen Harper"/>
        <s v="Kaitlyn Graham MD"/>
        <s v="Dean Avila"/>
        <s v="Megan Mack"/>
        <s v="Heather Johnson"/>
        <s v="Tina Davies"/>
        <s v="Matthew Harris"/>
        <s v="Christopher Kirk"/>
        <s v="Eric Stevens"/>
        <s v="James Dickerson"/>
        <s v="James Jones"/>
        <s v="Hannah Hendricks"/>
        <s v="Brett Mullins"/>
        <s v="Ms. Kim Jordan"/>
        <s v="Marcus Santiago"/>
        <s v="Jill Perez"/>
        <s v="Courtney Williams"/>
        <s v="Jordan Hahn"/>
        <s v="William Cook"/>
        <s v="Stephanie Hayes"/>
        <s v="Melissa Wise"/>
        <s v="Elizabeth Gonzalez"/>
        <s v="Mr. Eric Lopez"/>
        <s v="Benjamin Higgins"/>
        <s v="Brett Sutton"/>
        <s v="Anna Blackburn"/>
        <s v="Michelle Bailey"/>
        <s v="Sara Peterson"/>
        <s v="Katherine Williams"/>
        <s v="Cory Evans"/>
        <s v="Michael Rodriguez"/>
        <s v="John Munoz"/>
        <s v="David Clark"/>
        <s v="April Welch"/>
        <s v="Alan Livingston"/>
        <s v="Angela Jackson"/>
        <s v="Amy Williams"/>
        <s v="Laura Jordan"/>
        <s v="Richard Maynard"/>
        <s v="Lawrence Oliver"/>
        <s v="Anthony Williams"/>
        <s v="Lynn Matthews"/>
        <s v="Andrew Griffin"/>
        <s v="Megan Williams"/>
        <s v="Alison Martin"/>
        <s v="Samuel Wallace"/>
        <s v="Manuel Stark"/>
        <s v="William Villarreal"/>
        <s v="Brandon Kirk"/>
        <s v="Abigail Brown"/>
        <s v="Kristine Carter"/>
        <s v="Wesley Deleon"/>
        <s v="Laura Cole"/>
        <s v="Lauren Harris"/>
        <s v="Cameron Miller"/>
        <s v="Jacob Carpenter"/>
        <s v="Pamela Callahan DVM"/>
        <s v="William Ruiz"/>
        <s v="Paula Marshall"/>
        <s v="Natalie Cox"/>
        <s v="Andrew Fernandez"/>
        <s v="Alisha Saunders"/>
        <s v="Travis Chandler DDS"/>
        <s v="Russell Austin"/>
        <s v="Collin Cameron"/>
        <s v="Elizabeth Hernandez"/>
        <s v="William Russell"/>
        <s v="Sheri Berg"/>
        <s v="Anthony Barnett"/>
        <s v="Kaitlyn Flores"/>
        <s v="Rebecca Owen"/>
        <s v="Michael Bell"/>
        <s v="Willie Huynh"/>
        <s v="Samuel Hayes"/>
        <s v="Sherry Tran"/>
        <s v="Heather Gray"/>
        <s v="Benjamin Meadows"/>
        <s v="Micheal Graham"/>
        <s v="Jean Jackson"/>
        <s v="Timothy Murphy"/>
        <s v="Mrs. Jennifer Lewis"/>
        <s v="Bryan Brown"/>
        <s v="Christopher Johnson"/>
        <s v="Christina Conner"/>
        <s v="Luis Luna"/>
        <s v="Julie Chavez"/>
        <s v="Richard Blair"/>
        <s v="Mitchell Lester"/>
        <s v="Mr. John Tyler PhD"/>
        <s v="Juan Kelly"/>
        <s v="Morgan Mccarthy"/>
        <s v="Morgan Sullivan"/>
        <s v="Eric Clark"/>
        <s v="Mark Padilla"/>
        <s v="Anthony Lane"/>
        <s v="Jeffrey Henderson"/>
        <s v="Michelle Hardy"/>
        <s v="Ms. Barbara Cervantes"/>
        <s v="Steven Proctor"/>
        <s v="Shannon Patterson"/>
        <s v="William Valdez"/>
        <s v="Laura Yu"/>
        <s v="Jonathan Mcmillan"/>
        <s v="Austin Davis"/>
        <s v="Mark Roy"/>
        <s v="Jillian Williams"/>
        <s v="Rebekah Carter"/>
        <s v="Jonathan Reed"/>
        <s v="Roger Harris"/>
        <s v="Louis Jimenez"/>
        <s v="Jessica Jones"/>
        <s v="Renee Gomez"/>
        <s v="Connie Olson"/>
        <s v="Christian Jones"/>
        <s v="Matthew Kelley"/>
        <s v="Candace Martinez"/>
        <s v="Jacob Mann"/>
        <s v="Keith Reese"/>
        <s v="Aaron Jones"/>
        <s v="Christopher Brooks"/>
        <s v="Charles Moore"/>
        <s v="Manuel Walls"/>
        <s v="Darren Moore"/>
        <s v="Stephanie Thomas"/>
        <s v="Kristy Hernandez"/>
        <s v="Randy Johnson"/>
        <s v="James Benitez"/>
        <s v="Donald York"/>
        <s v="Tiffany Parker"/>
        <s v="Melissa Mcknight"/>
        <s v="Mr. Jack Mercado"/>
        <s v="Rachel Fisher"/>
        <s v="Donald Moore"/>
        <s v="William Wu"/>
        <s v="Jesus Zuniga"/>
        <s v="Michael Gallegos"/>
        <s v="Robert Daniels"/>
        <s v="Jill Jones"/>
        <s v="Elizabeth Miller"/>
        <s v="Sabrina Clark"/>
        <s v="Larry Casey"/>
        <s v="Daniel Burns"/>
        <s v="James Tanner"/>
        <s v="Leonard Gonzalez"/>
        <s v="Richard Lee"/>
        <s v="Matthew Schroeder"/>
        <s v="Marcus Flores"/>
        <s v="Tonya Long"/>
        <s v="Michael Chambers"/>
        <s v="Kaylee Glover"/>
        <s v="Pamela Patterson"/>
        <s v="Ronald Mckinney"/>
        <s v="James Hart"/>
        <s v="Rhonda Harris"/>
        <s v="Randy Fisher"/>
        <s v="James Hernandez"/>
        <s v="Brenda Murphy"/>
        <s v="Andrew Kirby"/>
        <s v="Justin Thomas"/>
        <s v="Jillian Johnson MD"/>
        <s v="William Martin"/>
        <s v="Mark Dixon"/>
        <s v="Alicia Allen"/>
        <s v="Cynthia Meyer"/>
        <s v="Brandon Norton"/>
        <s v="Christina Scott"/>
        <s v="Andrew Macias"/>
        <s v="Alejandro Williams"/>
        <s v="Mark Rodriguez"/>
        <s v="Sarah Montgomery"/>
        <s v="Marisa Prince"/>
        <s v="James Bonilla"/>
        <s v="Robin Myers"/>
        <s v="Nancy Sanchez"/>
        <s v="Sydney Walls"/>
        <s v="Deborah Hoffman"/>
        <s v="Shane Clark"/>
        <s v="Steven Haynes"/>
        <s v="Kimberly Fuller"/>
        <s v="Angela Lyons"/>
        <s v="Betty Tucker"/>
        <s v="Brianna Hunt"/>
        <s v="Cathy Clark"/>
        <s v="Nicole Warren"/>
        <s v="Richard Castaneda"/>
        <s v="Sarah Torres"/>
        <s v="Vanessa Deleon"/>
        <s v="Richard Lyons"/>
        <s v="Eric Adams"/>
        <s v="Chad Brown"/>
        <s v="Kayla Becker"/>
        <s v="Ashley Freeman"/>
        <s v="Scott Harris"/>
        <s v="John James"/>
        <s v="Jesse Bond"/>
        <s v="Brandon Hughes"/>
        <s v="Lynn Reynolds"/>
        <s v="Ronald Good"/>
        <s v="Kyle Baker"/>
        <s v="Michael Rivera"/>
        <s v="Lori Adkins"/>
        <s v="Luis Warner"/>
        <s v="Donald Perry"/>
        <s v="Adam Stevens"/>
        <s v="Kimberly Johnson"/>
        <s v="Kelly Jones"/>
        <s v="Ashley Petty"/>
        <s v="Crystal Ross"/>
        <s v="Alexis Duffy"/>
        <s v="Stephanie Sanchez"/>
        <s v="Reginald Espinoza"/>
        <s v="Sandra Hicks"/>
        <s v="Olivia Orozco"/>
        <s v="Larry Moore"/>
        <s v="Mrs. Rachel Cannon DDS"/>
        <s v="Daniel Flowers"/>
        <s v="Randy Acosta"/>
        <s v="Deborah Williams"/>
        <s v="Robert Michael"/>
        <s v="Danny Ramirez"/>
        <s v="Stephen Baker"/>
        <s v="Jeffrey Wilcox"/>
        <s v="James Clarke"/>
        <s v="Julia Gallagher"/>
        <s v="Ronald Frey Jr."/>
        <s v="Megan Charles"/>
        <s v="Amy Duran MD"/>
        <s v="Christopher Thomas"/>
        <s v="Peter Castro"/>
        <s v="Steven Acosta"/>
        <s v="Lindsay Jackson"/>
        <s v="Kelly Smith"/>
        <s v="Sabrina Hartman"/>
        <s v="Cynthia Smith"/>
        <s v="Olivia Dickerson"/>
        <s v="Whitney Stout"/>
        <s v="Stephanie Flores"/>
        <s v="Gregory English"/>
        <s v="Natalie Maxwell"/>
        <s v="Tina Blake"/>
        <s v="Clarence Cooke"/>
        <s v="Tamara Guzman"/>
        <s v="Marissa Hartman"/>
        <s v="Sara Garcia"/>
        <s v="Kathryn Rogers"/>
        <s v="Kyle Dickson"/>
        <s v="Jacob Decker"/>
        <s v="Aaron Johnson"/>
        <s v="William Morse"/>
        <s v="Carrie Smith"/>
        <s v="Vincent Roth"/>
        <s v="Andrew Benson"/>
        <s v="Jason Wilson"/>
        <s v="Colin Patterson"/>
        <s v="Eric Bates"/>
        <s v="Steven Keith"/>
        <s v="Seth Rodriguez"/>
        <s v="Lauren Jones"/>
        <s v="Thomas Wallace"/>
        <s v="Mr. Daniel Wilson"/>
        <s v="Julie Smith MD"/>
        <s v="Carol Mitchell"/>
        <s v="John Thompson"/>
        <s v="Debra Rodriguez"/>
        <s v="Erin Vasquez"/>
        <s v="Clayton Lara"/>
        <s v="Tony Ray"/>
        <s v="Steven Frey"/>
        <s v="Stephanie Leonard"/>
        <s v="Crystal Chambers"/>
        <s v="Robert White"/>
        <s v="Sylvia Barron"/>
        <s v="Marcus Brown"/>
        <s v="Annette Pierce"/>
        <s v="Donald Hernandez"/>
        <s v="Megan Davis"/>
        <s v="Robert Brooks"/>
        <s v="Miguel Alvarez"/>
        <s v="Jennifer Arnold"/>
        <s v="Jessica Blankenship"/>
        <s v="Peggy Campos"/>
        <s v="Craig Ortega"/>
        <s v="Johnny Simon"/>
        <s v="Keith Brooks"/>
        <s v="Jason Martinez"/>
        <s v="Steven Herrera"/>
        <s v="Beverly Lamb"/>
        <s v="Michael Williams"/>
        <s v="Zachary Carpenter"/>
        <s v="Timothy Baker"/>
        <s v="Adam James"/>
        <s v="Katrina Wood"/>
        <s v="James Murray"/>
        <s v="Mr. Nathaniel Reeves"/>
        <s v="Jodi Wood"/>
        <s v="Dr. Thomas Peterson"/>
        <s v="Mario Hall"/>
        <s v="Justin Rosales"/>
        <s v="Autumn Lee"/>
        <s v="Victoria Duran"/>
        <s v="Barry Garcia"/>
        <s v="Dawn Webb"/>
        <s v="Patricia Sanford"/>
        <s v="William Walters"/>
        <s v="Emma Scott"/>
        <s v="Sabrina Buckley"/>
        <s v="Robert Rojas"/>
        <s v="Eric Johnson"/>
        <s v="Heather Parker"/>
        <s v="Thomas Matthews"/>
        <s v="Kimberly Beard"/>
        <s v="Lydia Donovan"/>
        <s v="Edward Johnson"/>
        <s v="Ricky Smith"/>
        <s v="Mr. Ralph Garcia Jr."/>
        <s v="Malik Walker"/>
        <s v="Tanya Walker"/>
        <s v="Sherri Ferguson DVM"/>
        <s v="Kristin Hart"/>
        <s v="Jim Johnson"/>
        <s v="David Hamilton"/>
        <s v="Michael Jimenez"/>
        <s v="Angela Norman"/>
        <s v="Denise Mcdaniel"/>
        <s v="Matthew Huff"/>
        <s v="Linda Little"/>
        <s v="Kerri Andrews"/>
        <s v="Jeffrey Johnson III"/>
        <s v="Daniel Dixon"/>
        <s v="Tiffany Robinson"/>
        <s v="Mr. Gregg Sawyer"/>
        <s v="John Silva"/>
        <s v="Nathan Moss"/>
        <s v="Donald Medina"/>
        <s v="Charles Henderson"/>
        <s v="Brenda Davis"/>
        <s v="Leah Calderon"/>
        <s v="Brandi Vasquez"/>
        <s v="Debra Richards"/>
        <s v="Tammy Day"/>
        <s v="Sheila Clay"/>
        <s v="Nicholas Flores"/>
        <s v="Jasmin Jones"/>
        <s v="Matthew Gardner"/>
        <s v="Joseph Perkins"/>
        <s v="Ashley Adams MD"/>
        <s v="Cheryl Stevens"/>
        <s v="Jorge George"/>
        <s v="Ann Mooney"/>
        <s v="James Mendoza"/>
        <s v="Kaitlin Garrison"/>
        <s v="Jeremy Jackson"/>
        <s v="Dale Craig"/>
        <s v="Joseph Hooper"/>
        <s v="Alexander Adams"/>
        <s v="Ashlee Mills"/>
        <s v="Brittany Jenkins"/>
        <s v="Eddie Gonzales"/>
        <s v="Edward Valencia"/>
        <s v="Emma Bruce"/>
        <s v="Carl Wade DDS"/>
        <s v="Brandon Alvarado"/>
        <s v="Jennifer Clark"/>
        <s v="David Johnson"/>
        <s v="April Marquez"/>
        <s v="Joseph Guerrero"/>
        <s v="Michael Hanson"/>
        <s v="William Hill"/>
        <s v="Kelsey Huber"/>
        <s v="Hailey Chandler"/>
        <s v="Cheyenne Rose"/>
        <s v="Richard Petersen"/>
        <s v="Kathryn Gray"/>
        <s v="Victor Collins"/>
        <s v="Jason Hernandez"/>
        <s v="Jacob Torres"/>
        <s v="Erin Hernandez"/>
        <s v="Jacob Guzman"/>
        <s v="Mike Armstrong"/>
        <s v="Cindy Rowland"/>
        <s v="Kenneth Matthews"/>
        <s v="Susan Valdez"/>
        <s v="Stephanie Manning"/>
        <s v="Logan Galloway"/>
        <s v="Christopher Stone"/>
        <s v="Megan Pitts"/>
        <s v="Richard Gardner"/>
        <s v="Samuel Moore"/>
        <s v="Robert Stokes"/>
        <s v="Danielle Ramirez"/>
        <s v="Taylor White"/>
        <s v="Jordan Krause"/>
        <s v="Kimberly King"/>
        <s v="Sharon Russell"/>
        <s v="Kevin Cooper"/>
        <s v="Darrell Ramos"/>
        <s v="Dr. Terry Alvarado"/>
        <s v="Kathy Wilson"/>
        <s v="Brandon Le"/>
        <s v="Mary Wright"/>
        <s v="Douglas Reynolds"/>
        <s v="Leroy Harris"/>
        <s v="Ricardo Dixon"/>
        <s v="Debra Smith"/>
        <s v="Jasmine James"/>
        <s v="Felicia Morton"/>
        <s v="Sylvia Jenkins"/>
        <s v="Elizabeth White"/>
        <s v="Steven Steele"/>
        <s v="Amanda Ramirez"/>
        <s v="Kyle Jackson"/>
        <s v="Sharon Wilkins"/>
        <s v="Austin Hammond"/>
        <s v="Jessica Barajas"/>
        <s v="Jamie Jimenez"/>
        <s v="James Carter"/>
        <s v="John Williams"/>
        <s v="Alicia Oneill"/>
        <s v="Rebecca Huff"/>
        <s v="Diana Scott"/>
        <s v="Brian Young"/>
        <s v="Susan Wright"/>
        <s v="Kayla Banks"/>
        <s v="Zachary Pierce"/>
        <s v="Nicolas Owen"/>
        <s v="Martha Carney"/>
        <s v="Francisco Hicks"/>
        <s v="Matthew Parker"/>
        <s v="Paul Bryant"/>
        <s v="Bruce Dennis"/>
        <s v="Joseph Bates"/>
        <s v="Kelly Pacheco"/>
        <s v="Jeffrey Weber"/>
        <s v="Andrew Krueger"/>
        <s v="Kathleen Cox"/>
        <s v="Jamie Bradley"/>
        <s v="Robert Martinez"/>
        <s v="Christopher Rogers"/>
        <s v="Roberto Parrish"/>
        <s v="Amber Kennedy"/>
        <s v="Maria Davis"/>
        <s v="Terry Gilbert"/>
        <s v="Devon Schmitt"/>
        <s v="Robert Mosley"/>
        <s v="Paul Scott"/>
        <s v="Kristin Alvarez"/>
        <s v="Kevin Jackson"/>
        <s v="Mrs. Lauren Potter DDS"/>
        <s v="Jason Brown"/>
        <s v="Jamie Santos"/>
        <s v="James Taylor"/>
        <s v="Alicia Vincent"/>
        <s v="Kenneth Adams"/>
        <s v="Shelby Browning"/>
        <s v="Johnny Hill"/>
        <s v="Nicholas Tucker"/>
        <s v="Theresa Cline"/>
        <s v="Christine Wheeler"/>
        <s v="Carlos Wells"/>
        <s v="Randall Bell"/>
        <s v="Kendra Mckinney"/>
        <s v="Amanda Kim"/>
        <s v="Megan Morgan"/>
        <s v="Vincent Kramer"/>
        <s v="Raymond Bean"/>
        <s v="Reginald Hebert"/>
        <s v="Jeremy Vazquez"/>
        <s v="Michael Stewart"/>
        <s v="Kevin Johnson"/>
        <s v="Tara Hughes"/>
        <s v="Sandra Perkins"/>
        <s v="Heather Bell"/>
        <s v="Nancy Boyd"/>
        <s v="Raymond Reyes"/>
        <s v="Cassandra Jordan"/>
        <s v="Evelyn Harris"/>
        <s v="Shannon Maynard"/>
        <s v="Marie James"/>
        <s v="Maria Carroll"/>
        <s v="Jessica Sloan"/>
        <s v="Scott Craig"/>
        <s v="Kaitlin Brown"/>
        <s v="William Beck"/>
        <s v="Eric Mason"/>
        <s v="Lisa Lowe"/>
        <s v="Roy Miller"/>
        <s v="Christopher Espinoza"/>
        <s v="Claire Cole"/>
        <s v="Eric Nunez"/>
        <s v="David Bell"/>
        <s v="Patrick Hensley MD"/>
        <s v="John Cox"/>
        <s v="Michelle Sullivan"/>
        <s v="Angela Todd"/>
        <s v="Luke Saunders"/>
        <s v="Dr. Jennifer Benton DVM"/>
        <s v="Keith Smith"/>
        <s v="Danielle Mitchell"/>
        <s v="Jesus Hernandez"/>
        <s v="Jason Norman"/>
        <s v="Laura Poole"/>
        <s v="Sarah Wagner"/>
        <s v="Bryan Baird"/>
        <s v="Amy Thompson"/>
        <s v="Ashley Wright"/>
        <s v="Michelle Lynch"/>
        <s v="Ryan Hale"/>
        <s v="Marie Jefferson"/>
        <s v="Vanessa Smith"/>
        <s v="Ryan Foster"/>
        <s v="David Lara"/>
        <s v="Jonathan Young"/>
        <s v="Debra Townsend"/>
        <s v="John Thomas"/>
        <s v="Bryan Anderson"/>
        <s v="Sarah Miller"/>
        <s v="Robert Hill"/>
        <s v="Joshua Rojas"/>
        <s v="Angelica Lewis"/>
        <s v="Jessica Russell"/>
        <s v="Mary Johnson"/>
        <s v="Joseph Knight"/>
        <s v="Jessica Greene"/>
        <s v="Vincent Perez"/>
        <s v="Dennis Rivera"/>
        <s v="Nancy Keller"/>
        <s v="Michelle Anderson"/>
        <s v="Anthony May"/>
        <s v="Michelle Guerra"/>
        <s v="Meghan Ballard"/>
        <s v="Brian Wheeler"/>
        <s v="William Rosario"/>
        <s v="Jessica Hunt"/>
        <s v="Tony Chavez"/>
        <s v="Mary Crawford"/>
        <s v="Roger Morrison"/>
        <s v="Bethany Harrison"/>
        <s v="Lisa Mcintyre"/>
        <s v="Carolyn Gonzalez"/>
        <s v="Christina Oconnell"/>
        <s v="James Garcia"/>
        <s v="Emily Frederick"/>
        <s v="Shawn Wise"/>
        <s v="Carrie Alvarez"/>
        <s v="Matthew James"/>
        <s v="Jerry Alvarado"/>
        <s v="Paul Zimmerman"/>
        <s v="Carl Ryan"/>
        <s v="Kelly Roberts"/>
        <s v="Jack Woods"/>
        <s v="Albert Alexander Jr."/>
        <s v="Teresa Perez"/>
        <s v="Amanda Williams"/>
        <s v="Kristen Lawson"/>
        <s v="Jacob Stewart"/>
        <s v="Daniel Brooks"/>
        <s v="Aaron Dunn"/>
        <s v="Jacob Martinez"/>
        <s v="Raymond Burgess"/>
        <s v="Jennifer Cooke"/>
        <s v="Tyrone White"/>
        <s v="Charles Williams"/>
        <s v="Amy Page"/>
        <s v="Scott Gibbs"/>
        <s v="Angela Roberts"/>
        <s v="Kyle Hernandez"/>
        <s v="Cynthia Ferguson"/>
        <s v="Brandi Garcia"/>
        <s v="Matthew Blake"/>
        <s v="Lauren Howell"/>
        <s v="Joseph Wilson"/>
        <s v="Tanner Vance"/>
        <s v="Michael Nash"/>
        <s v="Brent Thomas"/>
        <s v="Harold Mitchell"/>
        <s v="Ashley Palmer"/>
        <s v="Stephen Hogan"/>
        <s v="George Ashley"/>
        <s v="Sara Bailey"/>
        <s v="Tanya Thomas MD"/>
        <s v="Maria Galvan"/>
        <s v="Duane Kelly"/>
        <s v="Frank Reynolds"/>
        <s v="Aaron Kim"/>
        <s v="David Allen"/>
        <s v="Monica Lee"/>
        <s v="Erica Scott"/>
        <s v="Melissa Mitchell"/>
        <s v="Joshua Murray"/>
        <s v="John Jones"/>
        <s v="Cheryl Johnson"/>
        <s v="Lisa Farmer"/>
        <s v="Christopher Walker"/>
        <s v="Elizabeth Coffey"/>
        <s v="Joseph Clark"/>
        <s v="Jamie Brewer"/>
        <s v="Lauren Boyer"/>
        <s v="Howard Esparza"/>
        <s v="James Hickman"/>
        <s v="Jennifer Hernandez"/>
        <s v="Shannon Warren"/>
        <s v="Ashley Aguilar"/>
        <s v="Daniel Price"/>
        <s v="James Perez"/>
        <s v="Jerry Smith"/>
        <s v="Andre Fernandez"/>
        <s v="Anthony West"/>
        <s v="Amber Flowers"/>
        <s v="Patricia Davis"/>
        <s v="Jasmine Gibbs"/>
        <s v="Nicole Dudley"/>
        <s v="Lori Colon"/>
        <s v="William Carr"/>
        <s v="Jeffrey Dixon"/>
        <s v="Robert Sexton"/>
        <s v="Brooke Gonzalez"/>
        <s v="Victoria Bryant MD"/>
        <s v="Nancy Kennedy"/>
        <s v="Andrew Barry"/>
        <s v="Carlos Wheeler"/>
        <s v="Isabella Roach"/>
        <s v="Samantha Williams"/>
        <s v="Samuel Little MD"/>
        <s v="Paul Taylor"/>
        <s v="Susan Baker"/>
        <s v="Mark Fry"/>
        <s v="Megan Mclean"/>
        <s v="Caitlin Hunt"/>
        <s v="Jenna Holland"/>
        <s v="Stephanie Oconnell"/>
        <s v="Andrea Hill"/>
      </sharedItems>
    </cacheField>
    <cacheField name="State" numFmtId="0">
      <sharedItems count="6">
        <s v="Florida"/>
        <s v="Illinois"/>
        <s v="New York"/>
        <s v="California"/>
        <s v="Texas"/>
        <s v="Ohio"/>
      </sharedItems>
    </cacheField>
    <cacheField name="City" numFmtId="0">
      <sharedItems count="18">
        <s v="Miami"/>
        <s v="Chicago"/>
        <s v="Buffalo"/>
        <s v="Orlando"/>
        <s v="Los Angeles"/>
        <s v="New York City"/>
        <s v="Springfield"/>
        <s v="Rochester"/>
        <s v="Dallas"/>
        <s v="San Diego"/>
        <s v="Austin"/>
        <s v="San Francisco"/>
        <s v="Columbus"/>
        <s v="Cincinnati"/>
        <s v="Cleveland"/>
        <s v="Houston"/>
        <s v="Tampa"/>
        <s v="Peoria"/>
      </sharedItems>
    </cacheField>
    <cacheField name="Year-Month" numFmtId="0">
      <sharedItems count="61">
        <s v="2023-06"/>
        <s v="2024-12"/>
        <s v="2021-07"/>
        <s v="2024-05"/>
        <s v="2021-10"/>
        <s v="2022-11"/>
        <s v="2023-11"/>
        <s v="2020-03"/>
        <s v="2020-05"/>
        <s v="2025-02"/>
        <s v="2024-01"/>
        <s v="2020-11"/>
        <s v="2022-01"/>
        <s v="2021-12"/>
        <s v="2023-02"/>
        <s v="2022-10"/>
        <s v="2023-12"/>
        <s v="2023-07"/>
        <s v="2021-05"/>
        <s v="2024-08"/>
        <s v="2020-10"/>
        <s v="2023-08"/>
        <s v="2021-06"/>
        <s v="2023-05"/>
        <s v="2022-09"/>
        <s v="2022-03"/>
        <s v="2022-02"/>
        <s v="2021-04"/>
        <s v="2023-04"/>
        <s v="2022-12"/>
        <s v="2025-03"/>
        <s v="2024-09"/>
        <s v="2020-04"/>
        <s v="2022-06"/>
        <s v="2021-03"/>
        <s v="2021-11"/>
        <s v="2021-08"/>
        <s v="2022-05"/>
        <s v="2020-08"/>
        <s v="2022-04"/>
        <s v="2022-08"/>
        <s v="2024-07"/>
        <s v="2024-02"/>
        <s v="2021-09"/>
        <s v="2024-04"/>
        <s v="2023-03"/>
        <s v="2024-11"/>
        <s v="2024-06"/>
        <s v="2023-09"/>
        <s v="2021-01"/>
        <s v="2020-12"/>
        <s v="2021-02"/>
        <s v="2025-01"/>
        <s v="2020-06"/>
        <s v="2023-01"/>
        <s v="2024-03"/>
        <s v="2024-10"/>
        <s v="2020-09"/>
        <s v="2022-07"/>
        <s v="2023-10"/>
        <s v="2020-07"/>
      </sharedItems>
    </cacheField>
    <cacheField name="Quarters" numFmtId="0" databaseField="0">
      <fieldGroup base="7">
        <rangePr groupBy="quarters" startDate="2020-03-22T00:00:00" endDate="2025-03-16T00:00:00"/>
        <groupItems count="6">
          <s v="&lt;3/22/2020"/>
          <s v="Qtr1"/>
          <s v="Qtr2"/>
          <s v="Qtr3"/>
          <s v="Qtr4"/>
          <s v="&gt;3/16/2025"/>
        </groupItems>
      </fieldGroup>
    </cacheField>
    <cacheField name="Years" numFmtId="0" databaseField="0">
      <fieldGroup base="7">
        <rangePr groupBy="years" startDate="2020-03-22T00:00:00" endDate="2025-03-16T00:00:00"/>
        <groupItems count="8">
          <s v="&lt;3/22/2020"/>
          <s v="2020"/>
          <s v="2021"/>
          <s v="2022"/>
          <s v="2023"/>
          <s v="2024"/>
          <s v="2025"/>
          <s v="&gt;3/16/2025"/>
        </groupItems>
      </fieldGroup>
    </cacheField>
  </cacheFields>
  <extLst>
    <ext xmlns:x14="http://schemas.microsoft.com/office/spreadsheetml/2009/9/main" uri="{725AE2AE-9491-48be-B2B4-4EB974FC3084}">
      <x14:pivotCacheDefinition pivotCacheId="15059059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x v="0"/>
    <n v="9726"/>
    <n v="1275"/>
    <n v="5"/>
    <x v="0"/>
    <x v="0"/>
    <x v="0"/>
    <x v="0"/>
    <x v="0"/>
    <x v="0"/>
    <x v="0"/>
    <x v="0"/>
  </r>
  <r>
    <x v="0"/>
    <n v="9726"/>
    <n v="1275"/>
    <n v="5"/>
    <x v="0"/>
    <x v="0"/>
    <x v="0"/>
    <x v="1"/>
    <x v="1"/>
    <x v="1"/>
    <x v="1"/>
    <x v="1"/>
  </r>
  <r>
    <x v="0"/>
    <n v="9726"/>
    <n v="1275"/>
    <n v="5"/>
    <x v="0"/>
    <x v="0"/>
    <x v="0"/>
    <x v="2"/>
    <x v="2"/>
    <x v="2"/>
    <x v="2"/>
    <x v="2"/>
  </r>
  <r>
    <x v="0"/>
    <n v="4975"/>
    <n v="1330"/>
    <n v="14"/>
    <x v="0"/>
    <x v="1"/>
    <x v="0"/>
    <x v="0"/>
    <x v="0"/>
    <x v="0"/>
    <x v="0"/>
    <x v="0"/>
  </r>
  <r>
    <x v="0"/>
    <n v="4975"/>
    <n v="1330"/>
    <n v="14"/>
    <x v="0"/>
    <x v="1"/>
    <x v="0"/>
    <x v="1"/>
    <x v="1"/>
    <x v="1"/>
    <x v="1"/>
    <x v="1"/>
  </r>
  <r>
    <x v="0"/>
    <n v="4975"/>
    <n v="1330"/>
    <n v="14"/>
    <x v="0"/>
    <x v="1"/>
    <x v="0"/>
    <x v="2"/>
    <x v="2"/>
    <x v="2"/>
    <x v="2"/>
    <x v="2"/>
  </r>
  <r>
    <x v="1"/>
    <n v="1525"/>
    <n v="185"/>
    <n v="12"/>
    <x v="1"/>
    <x v="2"/>
    <x v="1"/>
    <x v="3"/>
    <x v="3"/>
    <x v="0"/>
    <x v="3"/>
    <x v="3"/>
  </r>
  <r>
    <x v="1"/>
    <n v="1525"/>
    <n v="185"/>
    <n v="12"/>
    <x v="1"/>
    <x v="2"/>
    <x v="1"/>
    <x v="4"/>
    <x v="4"/>
    <x v="0"/>
    <x v="0"/>
    <x v="4"/>
  </r>
  <r>
    <x v="2"/>
    <n v="883"/>
    <n v="117"/>
    <n v="10"/>
    <x v="0"/>
    <x v="3"/>
    <x v="2"/>
    <x v="5"/>
    <x v="5"/>
    <x v="3"/>
    <x v="4"/>
    <x v="5"/>
  </r>
  <r>
    <x v="2"/>
    <n v="8127"/>
    <n v="3551"/>
    <n v="16"/>
    <x v="2"/>
    <x v="4"/>
    <x v="3"/>
    <x v="5"/>
    <x v="5"/>
    <x v="3"/>
    <x v="4"/>
    <x v="5"/>
  </r>
  <r>
    <x v="3"/>
    <n v="2516"/>
    <n v="734"/>
    <n v="19"/>
    <x v="2"/>
    <x v="5"/>
    <x v="0"/>
    <x v="6"/>
    <x v="6"/>
    <x v="2"/>
    <x v="5"/>
    <x v="6"/>
  </r>
  <r>
    <x v="4"/>
    <n v="2975"/>
    <n v="462"/>
    <n v="14"/>
    <x v="1"/>
    <x v="2"/>
    <x v="3"/>
    <x v="7"/>
    <x v="7"/>
    <x v="2"/>
    <x v="5"/>
    <x v="7"/>
  </r>
  <r>
    <x v="5"/>
    <n v="6851"/>
    <n v="2812"/>
    <n v="1"/>
    <x v="1"/>
    <x v="6"/>
    <x v="1"/>
    <x v="8"/>
    <x v="8"/>
    <x v="0"/>
    <x v="3"/>
    <x v="8"/>
  </r>
  <r>
    <x v="5"/>
    <n v="7626"/>
    <n v="1046"/>
    <n v="15"/>
    <x v="2"/>
    <x v="7"/>
    <x v="3"/>
    <x v="8"/>
    <x v="8"/>
    <x v="0"/>
    <x v="3"/>
    <x v="8"/>
  </r>
  <r>
    <x v="5"/>
    <n v="1023"/>
    <n v="78"/>
    <n v="9"/>
    <x v="2"/>
    <x v="4"/>
    <x v="0"/>
    <x v="8"/>
    <x v="8"/>
    <x v="0"/>
    <x v="3"/>
    <x v="8"/>
  </r>
  <r>
    <x v="6"/>
    <n v="7600"/>
    <n v="1098"/>
    <n v="10"/>
    <x v="1"/>
    <x v="2"/>
    <x v="0"/>
    <x v="9"/>
    <x v="9"/>
    <x v="1"/>
    <x v="6"/>
    <x v="6"/>
  </r>
  <r>
    <x v="6"/>
    <n v="7501"/>
    <n v="262"/>
    <n v="18"/>
    <x v="1"/>
    <x v="8"/>
    <x v="4"/>
    <x v="9"/>
    <x v="9"/>
    <x v="1"/>
    <x v="6"/>
    <x v="6"/>
  </r>
  <r>
    <x v="7"/>
    <n v="725"/>
    <n v="133"/>
    <n v="6"/>
    <x v="1"/>
    <x v="8"/>
    <x v="3"/>
    <x v="10"/>
    <x v="10"/>
    <x v="2"/>
    <x v="7"/>
    <x v="1"/>
  </r>
  <r>
    <x v="7"/>
    <n v="7201"/>
    <n v="2685"/>
    <n v="2"/>
    <x v="2"/>
    <x v="4"/>
    <x v="3"/>
    <x v="10"/>
    <x v="10"/>
    <x v="2"/>
    <x v="7"/>
    <x v="1"/>
  </r>
  <r>
    <x v="8"/>
    <n v="1629"/>
    <n v="265"/>
    <n v="1"/>
    <x v="1"/>
    <x v="8"/>
    <x v="0"/>
    <x v="11"/>
    <x v="11"/>
    <x v="4"/>
    <x v="8"/>
    <x v="9"/>
  </r>
  <r>
    <x v="8"/>
    <n v="1629"/>
    <n v="265"/>
    <n v="1"/>
    <x v="1"/>
    <x v="8"/>
    <x v="0"/>
    <x v="12"/>
    <x v="12"/>
    <x v="3"/>
    <x v="9"/>
    <x v="10"/>
  </r>
  <r>
    <x v="9"/>
    <n v="8971"/>
    <n v="2971"/>
    <n v="19"/>
    <x v="1"/>
    <x v="9"/>
    <x v="1"/>
    <x v="13"/>
    <x v="13"/>
    <x v="3"/>
    <x v="9"/>
    <x v="11"/>
  </r>
  <r>
    <x v="9"/>
    <n v="2939"/>
    <n v="894"/>
    <n v="20"/>
    <x v="1"/>
    <x v="9"/>
    <x v="4"/>
    <x v="13"/>
    <x v="13"/>
    <x v="3"/>
    <x v="9"/>
    <x v="11"/>
  </r>
  <r>
    <x v="10"/>
    <n v="9380"/>
    <n v="414"/>
    <n v="11"/>
    <x v="0"/>
    <x v="10"/>
    <x v="0"/>
    <x v="14"/>
    <x v="14"/>
    <x v="2"/>
    <x v="7"/>
    <x v="3"/>
  </r>
  <r>
    <x v="10"/>
    <n v="8558"/>
    <n v="1644"/>
    <n v="18"/>
    <x v="1"/>
    <x v="9"/>
    <x v="3"/>
    <x v="14"/>
    <x v="14"/>
    <x v="2"/>
    <x v="7"/>
    <x v="3"/>
  </r>
  <r>
    <x v="10"/>
    <n v="4080"/>
    <n v="72"/>
    <n v="17"/>
    <x v="1"/>
    <x v="8"/>
    <x v="4"/>
    <x v="14"/>
    <x v="14"/>
    <x v="2"/>
    <x v="7"/>
    <x v="3"/>
  </r>
  <r>
    <x v="11"/>
    <n v="4206"/>
    <n v="1821"/>
    <n v="17"/>
    <x v="0"/>
    <x v="0"/>
    <x v="2"/>
    <x v="15"/>
    <x v="15"/>
    <x v="4"/>
    <x v="10"/>
    <x v="12"/>
  </r>
  <r>
    <x v="12"/>
    <n v="5219"/>
    <n v="1180"/>
    <n v="20"/>
    <x v="1"/>
    <x v="9"/>
    <x v="4"/>
    <x v="16"/>
    <x v="16"/>
    <x v="2"/>
    <x v="5"/>
    <x v="13"/>
  </r>
  <r>
    <x v="12"/>
    <n v="5219"/>
    <n v="1180"/>
    <n v="20"/>
    <x v="1"/>
    <x v="9"/>
    <x v="4"/>
    <x v="17"/>
    <x v="17"/>
    <x v="3"/>
    <x v="11"/>
    <x v="14"/>
  </r>
  <r>
    <x v="13"/>
    <n v="3686"/>
    <n v="760"/>
    <n v="20"/>
    <x v="1"/>
    <x v="2"/>
    <x v="1"/>
    <x v="18"/>
    <x v="18"/>
    <x v="3"/>
    <x v="11"/>
    <x v="15"/>
  </r>
  <r>
    <x v="13"/>
    <n v="3686"/>
    <n v="760"/>
    <n v="20"/>
    <x v="1"/>
    <x v="2"/>
    <x v="1"/>
    <x v="19"/>
    <x v="19"/>
    <x v="5"/>
    <x v="12"/>
    <x v="12"/>
  </r>
  <r>
    <x v="14"/>
    <n v="6045"/>
    <n v="1606"/>
    <n v="4"/>
    <x v="1"/>
    <x v="8"/>
    <x v="4"/>
    <x v="20"/>
    <x v="20"/>
    <x v="0"/>
    <x v="3"/>
    <x v="16"/>
  </r>
  <r>
    <x v="14"/>
    <n v="9337"/>
    <n v="554"/>
    <n v="11"/>
    <x v="1"/>
    <x v="2"/>
    <x v="4"/>
    <x v="20"/>
    <x v="20"/>
    <x v="0"/>
    <x v="3"/>
    <x v="16"/>
  </r>
  <r>
    <x v="15"/>
    <n v="4051"/>
    <n v="1848"/>
    <n v="12"/>
    <x v="0"/>
    <x v="10"/>
    <x v="3"/>
    <x v="21"/>
    <x v="21"/>
    <x v="3"/>
    <x v="9"/>
    <x v="17"/>
  </r>
  <r>
    <x v="15"/>
    <n v="4051"/>
    <n v="1848"/>
    <n v="12"/>
    <x v="0"/>
    <x v="10"/>
    <x v="3"/>
    <x v="22"/>
    <x v="22"/>
    <x v="5"/>
    <x v="13"/>
    <x v="18"/>
  </r>
  <r>
    <x v="15"/>
    <n v="5011"/>
    <n v="866"/>
    <n v="11"/>
    <x v="2"/>
    <x v="11"/>
    <x v="3"/>
    <x v="21"/>
    <x v="21"/>
    <x v="3"/>
    <x v="9"/>
    <x v="17"/>
  </r>
  <r>
    <x v="15"/>
    <n v="5011"/>
    <n v="866"/>
    <n v="11"/>
    <x v="2"/>
    <x v="11"/>
    <x v="3"/>
    <x v="22"/>
    <x v="22"/>
    <x v="5"/>
    <x v="13"/>
    <x v="18"/>
  </r>
  <r>
    <x v="16"/>
    <n v="3958"/>
    <n v="630"/>
    <n v="15"/>
    <x v="2"/>
    <x v="7"/>
    <x v="2"/>
    <x v="23"/>
    <x v="23"/>
    <x v="0"/>
    <x v="3"/>
    <x v="15"/>
  </r>
  <r>
    <x v="16"/>
    <n v="3132"/>
    <n v="963"/>
    <n v="1"/>
    <x v="2"/>
    <x v="4"/>
    <x v="1"/>
    <x v="23"/>
    <x v="23"/>
    <x v="0"/>
    <x v="3"/>
    <x v="15"/>
  </r>
  <r>
    <x v="17"/>
    <n v="7784"/>
    <n v="2937"/>
    <n v="12"/>
    <x v="1"/>
    <x v="6"/>
    <x v="0"/>
    <x v="24"/>
    <x v="24"/>
    <x v="3"/>
    <x v="11"/>
    <x v="19"/>
  </r>
  <r>
    <x v="17"/>
    <n v="5591"/>
    <n v="1696"/>
    <n v="3"/>
    <x v="1"/>
    <x v="2"/>
    <x v="4"/>
    <x v="24"/>
    <x v="24"/>
    <x v="3"/>
    <x v="11"/>
    <x v="19"/>
  </r>
  <r>
    <x v="17"/>
    <n v="5122"/>
    <n v="2413"/>
    <n v="12"/>
    <x v="0"/>
    <x v="0"/>
    <x v="4"/>
    <x v="24"/>
    <x v="24"/>
    <x v="3"/>
    <x v="11"/>
    <x v="19"/>
  </r>
  <r>
    <x v="18"/>
    <n v="8293"/>
    <n v="2632"/>
    <n v="8"/>
    <x v="1"/>
    <x v="9"/>
    <x v="4"/>
    <x v="25"/>
    <x v="25"/>
    <x v="5"/>
    <x v="14"/>
    <x v="12"/>
  </r>
  <r>
    <x v="18"/>
    <n v="8293"/>
    <n v="2632"/>
    <n v="8"/>
    <x v="1"/>
    <x v="9"/>
    <x v="4"/>
    <x v="26"/>
    <x v="26"/>
    <x v="2"/>
    <x v="7"/>
    <x v="20"/>
  </r>
  <r>
    <x v="18"/>
    <n v="8293"/>
    <n v="2632"/>
    <n v="8"/>
    <x v="1"/>
    <x v="9"/>
    <x v="4"/>
    <x v="27"/>
    <x v="27"/>
    <x v="3"/>
    <x v="4"/>
    <x v="21"/>
  </r>
  <r>
    <x v="18"/>
    <n v="2863"/>
    <n v="205"/>
    <n v="17"/>
    <x v="0"/>
    <x v="10"/>
    <x v="0"/>
    <x v="25"/>
    <x v="25"/>
    <x v="5"/>
    <x v="14"/>
    <x v="12"/>
  </r>
  <r>
    <x v="18"/>
    <n v="2863"/>
    <n v="205"/>
    <n v="17"/>
    <x v="0"/>
    <x v="10"/>
    <x v="0"/>
    <x v="26"/>
    <x v="26"/>
    <x v="2"/>
    <x v="7"/>
    <x v="20"/>
  </r>
  <r>
    <x v="18"/>
    <n v="2863"/>
    <n v="205"/>
    <n v="17"/>
    <x v="0"/>
    <x v="10"/>
    <x v="0"/>
    <x v="27"/>
    <x v="27"/>
    <x v="3"/>
    <x v="4"/>
    <x v="21"/>
  </r>
  <r>
    <x v="19"/>
    <n v="3090"/>
    <n v="573"/>
    <n v="6"/>
    <x v="2"/>
    <x v="4"/>
    <x v="2"/>
    <x v="1"/>
    <x v="28"/>
    <x v="3"/>
    <x v="9"/>
    <x v="1"/>
  </r>
  <r>
    <x v="19"/>
    <n v="3090"/>
    <n v="573"/>
    <n v="6"/>
    <x v="2"/>
    <x v="4"/>
    <x v="2"/>
    <x v="28"/>
    <x v="29"/>
    <x v="5"/>
    <x v="13"/>
    <x v="22"/>
  </r>
  <r>
    <x v="19"/>
    <n v="3090"/>
    <n v="573"/>
    <n v="6"/>
    <x v="2"/>
    <x v="4"/>
    <x v="2"/>
    <x v="29"/>
    <x v="30"/>
    <x v="4"/>
    <x v="10"/>
    <x v="23"/>
  </r>
  <r>
    <x v="19"/>
    <n v="3090"/>
    <n v="573"/>
    <n v="6"/>
    <x v="2"/>
    <x v="4"/>
    <x v="2"/>
    <x v="30"/>
    <x v="31"/>
    <x v="4"/>
    <x v="8"/>
    <x v="4"/>
  </r>
  <r>
    <x v="19"/>
    <n v="9683"/>
    <n v="1014"/>
    <n v="5"/>
    <x v="0"/>
    <x v="1"/>
    <x v="0"/>
    <x v="1"/>
    <x v="28"/>
    <x v="3"/>
    <x v="9"/>
    <x v="1"/>
  </r>
  <r>
    <x v="19"/>
    <n v="9683"/>
    <n v="1014"/>
    <n v="5"/>
    <x v="0"/>
    <x v="1"/>
    <x v="0"/>
    <x v="28"/>
    <x v="29"/>
    <x v="5"/>
    <x v="13"/>
    <x v="22"/>
  </r>
  <r>
    <x v="19"/>
    <n v="9683"/>
    <n v="1014"/>
    <n v="5"/>
    <x v="0"/>
    <x v="1"/>
    <x v="0"/>
    <x v="29"/>
    <x v="30"/>
    <x v="4"/>
    <x v="10"/>
    <x v="23"/>
  </r>
  <r>
    <x v="19"/>
    <n v="9683"/>
    <n v="1014"/>
    <n v="5"/>
    <x v="0"/>
    <x v="1"/>
    <x v="0"/>
    <x v="30"/>
    <x v="31"/>
    <x v="4"/>
    <x v="8"/>
    <x v="4"/>
  </r>
  <r>
    <x v="20"/>
    <n v="2463"/>
    <n v="648"/>
    <n v="18"/>
    <x v="2"/>
    <x v="4"/>
    <x v="2"/>
    <x v="31"/>
    <x v="32"/>
    <x v="5"/>
    <x v="13"/>
    <x v="24"/>
  </r>
  <r>
    <x v="21"/>
    <n v="7811"/>
    <n v="1538"/>
    <n v="12"/>
    <x v="2"/>
    <x v="7"/>
    <x v="4"/>
    <x v="32"/>
    <x v="33"/>
    <x v="0"/>
    <x v="0"/>
    <x v="25"/>
  </r>
  <r>
    <x v="22"/>
    <n v="6139"/>
    <n v="451"/>
    <n v="10"/>
    <x v="2"/>
    <x v="4"/>
    <x v="1"/>
    <x v="33"/>
    <x v="34"/>
    <x v="0"/>
    <x v="3"/>
    <x v="26"/>
  </r>
  <r>
    <x v="22"/>
    <n v="6139"/>
    <n v="451"/>
    <n v="10"/>
    <x v="2"/>
    <x v="4"/>
    <x v="1"/>
    <x v="34"/>
    <x v="17"/>
    <x v="4"/>
    <x v="15"/>
    <x v="27"/>
  </r>
  <r>
    <x v="22"/>
    <n v="8636"/>
    <n v="3192"/>
    <n v="3"/>
    <x v="2"/>
    <x v="5"/>
    <x v="4"/>
    <x v="33"/>
    <x v="34"/>
    <x v="0"/>
    <x v="3"/>
    <x v="26"/>
  </r>
  <r>
    <x v="22"/>
    <n v="8636"/>
    <n v="3192"/>
    <n v="3"/>
    <x v="2"/>
    <x v="5"/>
    <x v="4"/>
    <x v="34"/>
    <x v="17"/>
    <x v="4"/>
    <x v="15"/>
    <x v="27"/>
  </r>
  <r>
    <x v="22"/>
    <n v="4439"/>
    <n v="1712"/>
    <n v="19"/>
    <x v="2"/>
    <x v="7"/>
    <x v="3"/>
    <x v="33"/>
    <x v="34"/>
    <x v="0"/>
    <x v="3"/>
    <x v="26"/>
  </r>
  <r>
    <x v="22"/>
    <n v="4439"/>
    <n v="1712"/>
    <n v="19"/>
    <x v="2"/>
    <x v="7"/>
    <x v="3"/>
    <x v="34"/>
    <x v="17"/>
    <x v="4"/>
    <x v="15"/>
    <x v="27"/>
  </r>
  <r>
    <x v="23"/>
    <n v="1016"/>
    <n v="172"/>
    <n v="20"/>
    <x v="2"/>
    <x v="4"/>
    <x v="1"/>
    <x v="35"/>
    <x v="35"/>
    <x v="2"/>
    <x v="2"/>
    <x v="11"/>
  </r>
  <r>
    <x v="23"/>
    <n v="5768"/>
    <n v="2059"/>
    <n v="14"/>
    <x v="2"/>
    <x v="4"/>
    <x v="0"/>
    <x v="35"/>
    <x v="35"/>
    <x v="2"/>
    <x v="2"/>
    <x v="11"/>
  </r>
  <r>
    <x v="23"/>
    <n v="1217"/>
    <n v="151"/>
    <n v="3"/>
    <x v="2"/>
    <x v="4"/>
    <x v="3"/>
    <x v="35"/>
    <x v="35"/>
    <x v="2"/>
    <x v="2"/>
    <x v="11"/>
  </r>
  <r>
    <x v="24"/>
    <n v="953"/>
    <n v="93"/>
    <n v="2"/>
    <x v="1"/>
    <x v="8"/>
    <x v="1"/>
    <x v="36"/>
    <x v="36"/>
    <x v="5"/>
    <x v="14"/>
    <x v="1"/>
  </r>
  <r>
    <x v="24"/>
    <n v="953"/>
    <n v="93"/>
    <n v="2"/>
    <x v="1"/>
    <x v="8"/>
    <x v="1"/>
    <x v="37"/>
    <x v="37"/>
    <x v="3"/>
    <x v="4"/>
    <x v="28"/>
  </r>
  <r>
    <x v="24"/>
    <n v="7355"/>
    <n v="1034"/>
    <n v="3"/>
    <x v="2"/>
    <x v="7"/>
    <x v="4"/>
    <x v="36"/>
    <x v="36"/>
    <x v="5"/>
    <x v="14"/>
    <x v="1"/>
  </r>
  <r>
    <x v="24"/>
    <n v="7355"/>
    <n v="1034"/>
    <n v="3"/>
    <x v="2"/>
    <x v="7"/>
    <x v="4"/>
    <x v="37"/>
    <x v="37"/>
    <x v="3"/>
    <x v="4"/>
    <x v="28"/>
  </r>
  <r>
    <x v="24"/>
    <n v="1843"/>
    <n v="248"/>
    <n v="3"/>
    <x v="0"/>
    <x v="10"/>
    <x v="3"/>
    <x v="36"/>
    <x v="36"/>
    <x v="5"/>
    <x v="14"/>
    <x v="1"/>
  </r>
  <r>
    <x v="24"/>
    <n v="1843"/>
    <n v="248"/>
    <n v="3"/>
    <x v="0"/>
    <x v="10"/>
    <x v="3"/>
    <x v="37"/>
    <x v="37"/>
    <x v="3"/>
    <x v="4"/>
    <x v="28"/>
  </r>
  <r>
    <x v="24"/>
    <n v="1603"/>
    <n v="361"/>
    <n v="10"/>
    <x v="1"/>
    <x v="2"/>
    <x v="1"/>
    <x v="36"/>
    <x v="36"/>
    <x v="5"/>
    <x v="14"/>
    <x v="1"/>
  </r>
  <r>
    <x v="24"/>
    <n v="1603"/>
    <n v="361"/>
    <n v="10"/>
    <x v="1"/>
    <x v="2"/>
    <x v="1"/>
    <x v="37"/>
    <x v="37"/>
    <x v="3"/>
    <x v="4"/>
    <x v="28"/>
  </r>
  <r>
    <x v="25"/>
    <n v="2025"/>
    <n v="528"/>
    <n v="1"/>
    <x v="1"/>
    <x v="2"/>
    <x v="3"/>
    <x v="38"/>
    <x v="38"/>
    <x v="0"/>
    <x v="0"/>
    <x v="10"/>
  </r>
  <r>
    <x v="25"/>
    <n v="6800"/>
    <n v="167"/>
    <n v="16"/>
    <x v="1"/>
    <x v="9"/>
    <x v="2"/>
    <x v="38"/>
    <x v="38"/>
    <x v="0"/>
    <x v="0"/>
    <x v="10"/>
  </r>
  <r>
    <x v="26"/>
    <n v="1126"/>
    <n v="55"/>
    <n v="1"/>
    <x v="2"/>
    <x v="11"/>
    <x v="0"/>
    <x v="39"/>
    <x v="39"/>
    <x v="0"/>
    <x v="16"/>
    <x v="12"/>
  </r>
  <r>
    <x v="26"/>
    <n v="1126"/>
    <n v="55"/>
    <n v="1"/>
    <x v="2"/>
    <x v="11"/>
    <x v="0"/>
    <x v="40"/>
    <x v="40"/>
    <x v="2"/>
    <x v="2"/>
    <x v="29"/>
  </r>
  <r>
    <x v="27"/>
    <n v="7533"/>
    <n v="3508"/>
    <n v="12"/>
    <x v="2"/>
    <x v="4"/>
    <x v="0"/>
    <x v="41"/>
    <x v="41"/>
    <x v="3"/>
    <x v="9"/>
    <x v="17"/>
  </r>
  <r>
    <x v="27"/>
    <n v="4734"/>
    <n v="1178"/>
    <n v="16"/>
    <x v="1"/>
    <x v="9"/>
    <x v="3"/>
    <x v="41"/>
    <x v="41"/>
    <x v="3"/>
    <x v="9"/>
    <x v="17"/>
  </r>
  <r>
    <x v="27"/>
    <n v="4074"/>
    <n v="1175"/>
    <n v="6"/>
    <x v="0"/>
    <x v="0"/>
    <x v="1"/>
    <x v="41"/>
    <x v="41"/>
    <x v="3"/>
    <x v="9"/>
    <x v="17"/>
  </r>
  <r>
    <x v="27"/>
    <n v="2334"/>
    <n v="484"/>
    <n v="3"/>
    <x v="2"/>
    <x v="7"/>
    <x v="3"/>
    <x v="41"/>
    <x v="41"/>
    <x v="3"/>
    <x v="9"/>
    <x v="17"/>
  </r>
  <r>
    <x v="28"/>
    <n v="2750"/>
    <n v="1239"/>
    <n v="11"/>
    <x v="0"/>
    <x v="10"/>
    <x v="1"/>
    <x v="42"/>
    <x v="42"/>
    <x v="2"/>
    <x v="2"/>
    <x v="30"/>
  </r>
  <r>
    <x v="28"/>
    <n v="2750"/>
    <n v="1239"/>
    <n v="11"/>
    <x v="0"/>
    <x v="10"/>
    <x v="1"/>
    <x v="43"/>
    <x v="43"/>
    <x v="5"/>
    <x v="14"/>
    <x v="31"/>
  </r>
  <r>
    <x v="28"/>
    <n v="8639"/>
    <n v="3104"/>
    <n v="19"/>
    <x v="1"/>
    <x v="2"/>
    <x v="2"/>
    <x v="42"/>
    <x v="42"/>
    <x v="2"/>
    <x v="2"/>
    <x v="30"/>
  </r>
  <r>
    <x v="28"/>
    <n v="8639"/>
    <n v="3104"/>
    <n v="19"/>
    <x v="1"/>
    <x v="2"/>
    <x v="2"/>
    <x v="43"/>
    <x v="43"/>
    <x v="5"/>
    <x v="14"/>
    <x v="31"/>
  </r>
  <r>
    <x v="29"/>
    <n v="3808"/>
    <n v="1192"/>
    <n v="4"/>
    <x v="1"/>
    <x v="6"/>
    <x v="0"/>
    <x v="44"/>
    <x v="44"/>
    <x v="2"/>
    <x v="5"/>
    <x v="32"/>
  </r>
  <r>
    <x v="29"/>
    <n v="2588"/>
    <n v="705"/>
    <n v="16"/>
    <x v="1"/>
    <x v="2"/>
    <x v="3"/>
    <x v="44"/>
    <x v="44"/>
    <x v="2"/>
    <x v="5"/>
    <x v="32"/>
  </r>
  <r>
    <x v="30"/>
    <n v="1591"/>
    <n v="727"/>
    <n v="5"/>
    <x v="0"/>
    <x v="0"/>
    <x v="3"/>
    <x v="45"/>
    <x v="45"/>
    <x v="1"/>
    <x v="6"/>
    <x v="33"/>
  </r>
  <r>
    <x v="30"/>
    <n v="1591"/>
    <n v="727"/>
    <n v="5"/>
    <x v="0"/>
    <x v="0"/>
    <x v="3"/>
    <x v="46"/>
    <x v="46"/>
    <x v="0"/>
    <x v="16"/>
    <x v="34"/>
  </r>
  <r>
    <x v="30"/>
    <n v="1591"/>
    <n v="727"/>
    <n v="5"/>
    <x v="0"/>
    <x v="0"/>
    <x v="3"/>
    <x v="47"/>
    <x v="47"/>
    <x v="5"/>
    <x v="13"/>
    <x v="26"/>
  </r>
  <r>
    <x v="31"/>
    <n v="1757"/>
    <n v="622"/>
    <n v="10"/>
    <x v="2"/>
    <x v="5"/>
    <x v="0"/>
    <x v="48"/>
    <x v="48"/>
    <x v="5"/>
    <x v="14"/>
    <x v="25"/>
  </r>
  <r>
    <x v="31"/>
    <n v="1757"/>
    <n v="622"/>
    <n v="10"/>
    <x v="2"/>
    <x v="5"/>
    <x v="0"/>
    <x v="49"/>
    <x v="49"/>
    <x v="1"/>
    <x v="17"/>
    <x v="5"/>
  </r>
  <r>
    <x v="32"/>
    <n v="6940"/>
    <n v="253"/>
    <n v="15"/>
    <x v="2"/>
    <x v="11"/>
    <x v="1"/>
    <x v="50"/>
    <x v="50"/>
    <x v="0"/>
    <x v="3"/>
    <x v="35"/>
  </r>
  <r>
    <x v="32"/>
    <n v="5105"/>
    <n v="465"/>
    <n v="5"/>
    <x v="0"/>
    <x v="1"/>
    <x v="0"/>
    <x v="50"/>
    <x v="50"/>
    <x v="0"/>
    <x v="3"/>
    <x v="35"/>
  </r>
  <r>
    <x v="33"/>
    <n v="5578"/>
    <n v="277"/>
    <n v="16"/>
    <x v="2"/>
    <x v="4"/>
    <x v="4"/>
    <x v="51"/>
    <x v="51"/>
    <x v="0"/>
    <x v="0"/>
    <x v="36"/>
  </r>
  <r>
    <x v="33"/>
    <n v="5578"/>
    <n v="277"/>
    <n v="16"/>
    <x v="2"/>
    <x v="4"/>
    <x v="4"/>
    <x v="52"/>
    <x v="52"/>
    <x v="5"/>
    <x v="12"/>
    <x v="37"/>
  </r>
  <r>
    <x v="34"/>
    <n v="5224"/>
    <n v="1958"/>
    <n v="16"/>
    <x v="2"/>
    <x v="5"/>
    <x v="3"/>
    <x v="53"/>
    <x v="53"/>
    <x v="4"/>
    <x v="15"/>
    <x v="17"/>
  </r>
  <r>
    <x v="34"/>
    <n v="5002"/>
    <n v="1801"/>
    <n v="11"/>
    <x v="1"/>
    <x v="6"/>
    <x v="3"/>
    <x v="53"/>
    <x v="53"/>
    <x v="4"/>
    <x v="15"/>
    <x v="17"/>
  </r>
  <r>
    <x v="34"/>
    <n v="7380"/>
    <n v="1673"/>
    <n v="18"/>
    <x v="1"/>
    <x v="6"/>
    <x v="4"/>
    <x v="53"/>
    <x v="53"/>
    <x v="4"/>
    <x v="15"/>
    <x v="17"/>
  </r>
  <r>
    <x v="35"/>
    <n v="7595"/>
    <n v="2873"/>
    <n v="4"/>
    <x v="2"/>
    <x v="5"/>
    <x v="1"/>
    <x v="54"/>
    <x v="54"/>
    <x v="3"/>
    <x v="4"/>
    <x v="38"/>
  </r>
  <r>
    <x v="35"/>
    <n v="7595"/>
    <n v="2873"/>
    <n v="4"/>
    <x v="2"/>
    <x v="5"/>
    <x v="1"/>
    <x v="55"/>
    <x v="55"/>
    <x v="2"/>
    <x v="7"/>
    <x v="39"/>
  </r>
  <r>
    <x v="36"/>
    <n v="1954"/>
    <n v="294"/>
    <n v="7"/>
    <x v="2"/>
    <x v="7"/>
    <x v="1"/>
    <x v="56"/>
    <x v="56"/>
    <x v="4"/>
    <x v="10"/>
    <x v="29"/>
  </r>
  <r>
    <x v="37"/>
    <n v="523"/>
    <n v="95"/>
    <n v="20"/>
    <x v="0"/>
    <x v="1"/>
    <x v="2"/>
    <x v="57"/>
    <x v="57"/>
    <x v="4"/>
    <x v="8"/>
    <x v="1"/>
  </r>
  <r>
    <x v="38"/>
    <n v="5704"/>
    <n v="714"/>
    <n v="13"/>
    <x v="0"/>
    <x v="3"/>
    <x v="2"/>
    <x v="58"/>
    <x v="58"/>
    <x v="4"/>
    <x v="10"/>
    <x v="26"/>
  </r>
  <r>
    <x v="38"/>
    <n v="5704"/>
    <n v="714"/>
    <n v="13"/>
    <x v="0"/>
    <x v="3"/>
    <x v="2"/>
    <x v="59"/>
    <x v="59"/>
    <x v="3"/>
    <x v="9"/>
    <x v="13"/>
  </r>
  <r>
    <x v="38"/>
    <n v="8797"/>
    <n v="1010"/>
    <n v="8"/>
    <x v="2"/>
    <x v="4"/>
    <x v="0"/>
    <x v="58"/>
    <x v="58"/>
    <x v="4"/>
    <x v="10"/>
    <x v="26"/>
  </r>
  <r>
    <x v="38"/>
    <n v="8797"/>
    <n v="1010"/>
    <n v="8"/>
    <x v="2"/>
    <x v="4"/>
    <x v="0"/>
    <x v="59"/>
    <x v="59"/>
    <x v="3"/>
    <x v="9"/>
    <x v="13"/>
  </r>
  <r>
    <x v="38"/>
    <n v="9236"/>
    <n v="2899"/>
    <n v="5"/>
    <x v="0"/>
    <x v="3"/>
    <x v="1"/>
    <x v="58"/>
    <x v="58"/>
    <x v="4"/>
    <x v="10"/>
    <x v="26"/>
  </r>
  <r>
    <x v="38"/>
    <n v="9236"/>
    <n v="2899"/>
    <n v="5"/>
    <x v="0"/>
    <x v="3"/>
    <x v="1"/>
    <x v="59"/>
    <x v="59"/>
    <x v="3"/>
    <x v="9"/>
    <x v="13"/>
  </r>
  <r>
    <x v="39"/>
    <n v="9109"/>
    <n v="586"/>
    <n v="17"/>
    <x v="2"/>
    <x v="7"/>
    <x v="2"/>
    <x v="60"/>
    <x v="60"/>
    <x v="0"/>
    <x v="0"/>
    <x v="8"/>
  </r>
  <r>
    <x v="40"/>
    <n v="4358"/>
    <n v="526"/>
    <n v="19"/>
    <x v="0"/>
    <x v="10"/>
    <x v="3"/>
    <x v="61"/>
    <x v="61"/>
    <x v="4"/>
    <x v="8"/>
    <x v="29"/>
  </r>
  <r>
    <x v="40"/>
    <n v="4358"/>
    <n v="526"/>
    <n v="19"/>
    <x v="0"/>
    <x v="10"/>
    <x v="3"/>
    <x v="62"/>
    <x v="62"/>
    <x v="3"/>
    <x v="11"/>
    <x v="31"/>
  </r>
  <r>
    <x v="40"/>
    <n v="6459"/>
    <n v="825"/>
    <n v="8"/>
    <x v="0"/>
    <x v="10"/>
    <x v="3"/>
    <x v="61"/>
    <x v="61"/>
    <x v="4"/>
    <x v="8"/>
    <x v="29"/>
  </r>
  <r>
    <x v="40"/>
    <n v="6459"/>
    <n v="825"/>
    <n v="8"/>
    <x v="0"/>
    <x v="10"/>
    <x v="3"/>
    <x v="62"/>
    <x v="62"/>
    <x v="3"/>
    <x v="11"/>
    <x v="31"/>
  </r>
  <r>
    <x v="41"/>
    <n v="2478"/>
    <n v="92"/>
    <n v="12"/>
    <x v="2"/>
    <x v="11"/>
    <x v="4"/>
    <x v="63"/>
    <x v="63"/>
    <x v="3"/>
    <x v="11"/>
    <x v="23"/>
  </r>
  <r>
    <x v="41"/>
    <n v="2478"/>
    <n v="92"/>
    <n v="12"/>
    <x v="2"/>
    <x v="11"/>
    <x v="4"/>
    <x v="64"/>
    <x v="64"/>
    <x v="2"/>
    <x v="5"/>
    <x v="34"/>
  </r>
  <r>
    <x v="41"/>
    <n v="2478"/>
    <n v="92"/>
    <n v="12"/>
    <x v="2"/>
    <x v="11"/>
    <x v="4"/>
    <x v="65"/>
    <x v="65"/>
    <x v="3"/>
    <x v="11"/>
    <x v="34"/>
  </r>
  <r>
    <x v="41"/>
    <n v="2478"/>
    <n v="92"/>
    <n v="12"/>
    <x v="2"/>
    <x v="11"/>
    <x v="4"/>
    <x v="66"/>
    <x v="66"/>
    <x v="5"/>
    <x v="14"/>
    <x v="28"/>
  </r>
  <r>
    <x v="42"/>
    <n v="9992"/>
    <n v="3696"/>
    <n v="20"/>
    <x v="1"/>
    <x v="2"/>
    <x v="1"/>
    <x v="4"/>
    <x v="67"/>
    <x v="2"/>
    <x v="7"/>
    <x v="4"/>
  </r>
  <r>
    <x v="42"/>
    <n v="9992"/>
    <n v="3696"/>
    <n v="20"/>
    <x v="1"/>
    <x v="2"/>
    <x v="1"/>
    <x v="67"/>
    <x v="68"/>
    <x v="4"/>
    <x v="10"/>
    <x v="39"/>
  </r>
  <r>
    <x v="42"/>
    <n v="9992"/>
    <n v="3696"/>
    <n v="20"/>
    <x v="1"/>
    <x v="2"/>
    <x v="1"/>
    <x v="68"/>
    <x v="69"/>
    <x v="2"/>
    <x v="7"/>
    <x v="40"/>
  </r>
  <r>
    <x v="42"/>
    <n v="9619"/>
    <n v="3420"/>
    <n v="7"/>
    <x v="1"/>
    <x v="9"/>
    <x v="0"/>
    <x v="4"/>
    <x v="67"/>
    <x v="2"/>
    <x v="7"/>
    <x v="4"/>
  </r>
  <r>
    <x v="42"/>
    <n v="9619"/>
    <n v="3420"/>
    <n v="7"/>
    <x v="1"/>
    <x v="9"/>
    <x v="0"/>
    <x v="67"/>
    <x v="68"/>
    <x v="4"/>
    <x v="10"/>
    <x v="39"/>
  </r>
  <r>
    <x v="42"/>
    <n v="9619"/>
    <n v="3420"/>
    <n v="7"/>
    <x v="1"/>
    <x v="9"/>
    <x v="0"/>
    <x v="68"/>
    <x v="69"/>
    <x v="2"/>
    <x v="7"/>
    <x v="40"/>
  </r>
  <r>
    <x v="43"/>
    <n v="9538"/>
    <n v="3158"/>
    <n v="20"/>
    <x v="0"/>
    <x v="1"/>
    <x v="3"/>
    <x v="69"/>
    <x v="70"/>
    <x v="3"/>
    <x v="11"/>
    <x v="31"/>
  </r>
  <r>
    <x v="43"/>
    <n v="9538"/>
    <n v="3158"/>
    <n v="20"/>
    <x v="0"/>
    <x v="1"/>
    <x v="3"/>
    <x v="70"/>
    <x v="71"/>
    <x v="5"/>
    <x v="14"/>
    <x v="18"/>
  </r>
  <r>
    <x v="43"/>
    <n v="9035"/>
    <n v="1227"/>
    <n v="14"/>
    <x v="2"/>
    <x v="5"/>
    <x v="2"/>
    <x v="69"/>
    <x v="70"/>
    <x v="3"/>
    <x v="11"/>
    <x v="31"/>
  </r>
  <r>
    <x v="43"/>
    <n v="9035"/>
    <n v="1227"/>
    <n v="14"/>
    <x v="2"/>
    <x v="5"/>
    <x v="2"/>
    <x v="70"/>
    <x v="71"/>
    <x v="5"/>
    <x v="14"/>
    <x v="18"/>
  </r>
  <r>
    <x v="44"/>
    <n v="2684"/>
    <n v="670"/>
    <n v="2"/>
    <x v="1"/>
    <x v="8"/>
    <x v="4"/>
    <x v="71"/>
    <x v="72"/>
    <x v="0"/>
    <x v="16"/>
    <x v="41"/>
  </r>
  <r>
    <x v="44"/>
    <n v="822"/>
    <n v="147"/>
    <n v="5"/>
    <x v="2"/>
    <x v="7"/>
    <x v="3"/>
    <x v="71"/>
    <x v="72"/>
    <x v="0"/>
    <x v="16"/>
    <x v="41"/>
  </r>
  <r>
    <x v="44"/>
    <n v="9730"/>
    <n v="2341"/>
    <n v="2"/>
    <x v="2"/>
    <x v="5"/>
    <x v="2"/>
    <x v="71"/>
    <x v="72"/>
    <x v="0"/>
    <x v="16"/>
    <x v="41"/>
  </r>
  <r>
    <x v="44"/>
    <n v="2483"/>
    <n v="236"/>
    <n v="2"/>
    <x v="0"/>
    <x v="0"/>
    <x v="4"/>
    <x v="71"/>
    <x v="72"/>
    <x v="0"/>
    <x v="16"/>
    <x v="41"/>
  </r>
  <r>
    <x v="45"/>
    <n v="1297"/>
    <n v="600"/>
    <n v="7"/>
    <x v="1"/>
    <x v="9"/>
    <x v="3"/>
    <x v="72"/>
    <x v="73"/>
    <x v="0"/>
    <x v="3"/>
    <x v="42"/>
  </r>
  <r>
    <x v="45"/>
    <n v="7909"/>
    <n v="1942"/>
    <n v="19"/>
    <x v="0"/>
    <x v="10"/>
    <x v="4"/>
    <x v="72"/>
    <x v="73"/>
    <x v="0"/>
    <x v="3"/>
    <x v="42"/>
  </r>
  <r>
    <x v="46"/>
    <n v="9768"/>
    <n v="4518"/>
    <n v="8"/>
    <x v="2"/>
    <x v="4"/>
    <x v="3"/>
    <x v="73"/>
    <x v="74"/>
    <x v="4"/>
    <x v="8"/>
    <x v="35"/>
  </r>
  <r>
    <x v="46"/>
    <n v="4968"/>
    <n v="934"/>
    <n v="5"/>
    <x v="2"/>
    <x v="7"/>
    <x v="1"/>
    <x v="73"/>
    <x v="74"/>
    <x v="4"/>
    <x v="8"/>
    <x v="35"/>
  </r>
  <r>
    <x v="46"/>
    <n v="1731"/>
    <n v="149"/>
    <n v="4"/>
    <x v="0"/>
    <x v="3"/>
    <x v="2"/>
    <x v="73"/>
    <x v="74"/>
    <x v="4"/>
    <x v="8"/>
    <x v="35"/>
  </r>
  <r>
    <x v="47"/>
    <n v="3433"/>
    <n v="1169"/>
    <n v="10"/>
    <x v="1"/>
    <x v="9"/>
    <x v="4"/>
    <x v="74"/>
    <x v="75"/>
    <x v="3"/>
    <x v="11"/>
    <x v="42"/>
  </r>
  <r>
    <x v="47"/>
    <n v="3433"/>
    <n v="1169"/>
    <n v="10"/>
    <x v="1"/>
    <x v="9"/>
    <x v="4"/>
    <x v="75"/>
    <x v="76"/>
    <x v="1"/>
    <x v="6"/>
    <x v="43"/>
  </r>
  <r>
    <x v="47"/>
    <n v="3433"/>
    <n v="1169"/>
    <n v="10"/>
    <x v="1"/>
    <x v="9"/>
    <x v="4"/>
    <x v="76"/>
    <x v="77"/>
    <x v="3"/>
    <x v="9"/>
    <x v="43"/>
  </r>
  <r>
    <x v="47"/>
    <n v="3887"/>
    <n v="1490"/>
    <n v="1"/>
    <x v="1"/>
    <x v="9"/>
    <x v="1"/>
    <x v="74"/>
    <x v="75"/>
    <x v="3"/>
    <x v="11"/>
    <x v="42"/>
  </r>
  <r>
    <x v="47"/>
    <n v="3887"/>
    <n v="1490"/>
    <n v="1"/>
    <x v="1"/>
    <x v="9"/>
    <x v="1"/>
    <x v="75"/>
    <x v="76"/>
    <x v="1"/>
    <x v="6"/>
    <x v="43"/>
  </r>
  <r>
    <x v="47"/>
    <n v="3887"/>
    <n v="1490"/>
    <n v="1"/>
    <x v="1"/>
    <x v="9"/>
    <x v="1"/>
    <x v="76"/>
    <x v="77"/>
    <x v="3"/>
    <x v="9"/>
    <x v="43"/>
  </r>
  <r>
    <x v="48"/>
    <n v="1801"/>
    <n v="641"/>
    <n v="20"/>
    <x v="1"/>
    <x v="6"/>
    <x v="3"/>
    <x v="77"/>
    <x v="78"/>
    <x v="3"/>
    <x v="4"/>
    <x v="41"/>
  </r>
  <r>
    <x v="48"/>
    <n v="5301"/>
    <n v="817"/>
    <n v="10"/>
    <x v="2"/>
    <x v="4"/>
    <x v="1"/>
    <x v="77"/>
    <x v="78"/>
    <x v="3"/>
    <x v="4"/>
    <x v="41"/>
  </r>
  <r>
    <x v="48"/>
    <n v="1166"/>
    <n v="520"/>
    <n v="12"/>
    <x v="1"/>
    <x v="8"/>
    <x v="1"/>
    <x v="77"/>
    <x v="78"/>
    <x v="3"/>
    <x v="4"/>
    <x v="41"/>
  </r>
  <r>
    <x v="48"/>
    <n v="3196"/>
    <n v="1411"/>
    <n v="15"/>
    <x v="1"/>
    <x v="8"/>
    <x v="1"/>
    <x v="77"/>
    <x v="78"/>
    <x v="3"/>
    <x v="4"/>
    <x v="41"/>
  </r>
  <r>
    <x v="49"/>
    <n v="3428"/>
    <n v="350"/>
    <n v="1"/>
    <x v="2"/>
    <x v="5"/>
    <x v="3"/>
    <x v="78"/>
    <x v="79"/>
    <x v="1"/>
    <x v="6"/>
    <x v="14"/>
  </r>
  <r>
    <x v="49"/>
    <n v="7223"/>
    <n v="2433"/>
    <n v="12"/>
    <x v="1"/>
    <x v="9"/>
    <x v="3"/>
    <x v="78"/>
    <x v="79"/>
    <x v="1"/>
    <x v="6"/>
    <x v="14"/>
  </r>
  <r>
    <x v="49"/>
    <n v="3731"/>
    <n v="647"/>
    <n v="1"/>
    <x v="1"/>
    <x v="2"/>
    <x v="3"/>
    <x v="78"/>
    <x v="79"/>
    <x v="1"/>
    <x v="6"/>
    <x v="14"/>
  </r>
  <r>
    <x v="50"/>
    <n v="8903"/>
    <n v="4401"/>
    <n v="18"/>
    <x v="1"/>
    <x v="2"/>
    <x v="3"/>
    <x v="79"/>
    <x v="80"/>
    <x v="5"/>
    <x v="12"/>
    <x v="40"/>
  </r>
  <r>
    <x v="51"/>
    <n v="6009"/>
    <n v="2107"/>
    <n v="7"/>
    <x v="0"/>
    <x v="10"/>
    <x v="0"/>
    <x v="80"/>
    <x v="81"/>
    <x v="1"/>
    <x v="1"/>
    <x v="29"/>
  </r>
  <r>
    <x v="51"/>
    <n v="6009"/>
    <n v="2107"/>
    <n v="7"/>
    <x v="0"/>
    <x v="10"/>
    <x v="0"/>
    <x v="81"/>
    <x v="82"/>
    <x v="4"/>
    <x v="10"/>
    <x v="44"/>
  </r>
  <r>
    <x v="51"/>
    <n v="2858"/>
    <n v="230"/>
    <n v="3"/>
    <x v="2"/>
    <x v="4"/>
    <x v="3"/>
    <x v="80"/>
    <x v="81"/>
    <x v="1"/>
    <x v="1"/>
    <x v="29"/>
  </r>
  <r>
    <x v="51"/>
    <n v="2858"/>
    <n v="230"/>
    <n v="3"/>
    <x v="2"/>
    <x v="4"/>
    <x v="3"/>
    <x v="81"/>
    <x v="82"/>
    <x v="4"/>
    <x v="10"/>
    <x v="44"/>
  </r>
  <r>
    <x v="51"/>
    <n v="8175"/>
    <n v="525"/>
    <n v="7"/>
    <x v="2"/>
    <x v="7"/>
    <x v="3"/>
    <x v="80"/>
    <x v="81"/>
    <x v="1"/>
    <x v="1"/>
    <x v="29"/>
  </r>
  <r>
    <x v="51"/>
    <n v="8175"/>
    <n v="525"/>
    <n v="7"/>
    <x v="2"/>
    <x v="7"/>
    <x v="3"/>
    <x v="81"/>
    <x v="82"/>
    <x v="4"/>
    <x v="10"/>
    <x v="44"/>
  </r>
  <r>
    <x v="51"/>
    <n v="5846"/>
    <n v="586"/>
    <n v="18"/>
    <x v="2"/>
    <x v="7"/>
    <x v="0"/>
    <x v="80"/>
    <x v="81"/>
    <x v="1"/>
    <x v="1"/>
    <x v="29"/>
  </r>
  <r>
    <x v="51"/>
    <n v="5846"/>
    <n v="586"/>
    <n v="18"/>
    <x v="2"/>
    <x v="7"/>
    <x v="0"/>
    <x v="81"/>
    <x v="82"/>
    <x v="4"/>
    <x v="10"/>
    <x v="44"/>
  </r>
  <r>
    <x v="52"/>
    <n v="706"/>
    <n v="197"/>
    <n v="11"/>
    <x v="0"/>
    <x v="3"/>
    <x v="3"/>
    <x v="82"/>
    <x v="83"/>
    <x v="4"/>
    <x v="10"/>
    <x v="12"/>
  </r>
  <r>
    <x v="53"/>
    <n v="9835"/>
    <n v="2571"/>
    <n v="16"/>
    <x v="2"/>
    <x v="4"/>
    <x v="4"/>
    <x v="83"/>
    <x v="84"/>
    <x v="4"/>
    <x v="8"/>
    <x v="33"/>
  </r>
  <r>
    <x v="53"/>
    <n v="9835"/>
    <n v="2571"/>
    <n v="16"/>
    <x v="2"/>
    <x v="4"/>
    <x v="4"/>
    <x v="84"/>
    <x v="85"/>
    <x v="0"/>
    <x v="3"/>
    <x v="35"/>
  </r>
  <r>
    <x v="53"/>
    <n v="9835"/>
    <n v="2571"/>
    <n v="16"/>
    <x v="2"/>
    <x v="4"/>
    <x v="4"/>
    <x v="85"/>
    <x v="86"/>
    <x v="3"/>
    <x v="4"/>
    <x v="40"/>
  </r>
  <r>
    <x v="53"/>
    <n v="9691"/>
    <n v="3056"/>
    <n v="13"/>
    <x v="1"/>
    <x v="6"/>
    <x v="3"/>
    <x v="83"/>
    <x v="84"/>
    <x v="4"/>
    <x v="8"/>
    <x v="33"/>
  </r>
  <r>
    <x v="53"/>
    <n v="9691"/>
    <n v="3056"/>
    <n v="13"/>
    <x v="1"/>
    <x v="6"/>
    <x v="3"/>
    <x v="84"/>
    <x v="85"/>
    <x v="0"/>
    <x v="3"/>
    <x v="35"/>
  </r>
  <r>
    <x v="53"/>
    <n v="9691"/>
    <n v="3056"/>
    <n v="13"/>
    <x v="1"/>
    <x v="6"/>
    <x v="3"/>
    <x v="85"/>
    <x v="86"/>
    <x v="3"/>
    <x v="4"/>
    <x v="40"/>
  </r>
  <r>
    <x v="53"/>
    <n v="7826"/>
    <n v="1221"/>
    <n v="14"/>
    <x v="2"/>
    <x v="11"/>
    <x v="0"/>
    <x v="83"/>
    <x v="84"/>
    <x v="4"/>
    <x v="8"/>
    <x v="33"/>
  </r>
  <r>
    <x v="53"/>
    <n v="7826"/>
    <n v="1221"/>
    <n v="14"/>
    <x v="2"/>
    <x v="11"/>
    <x v="0"/>
    <x v="84"/>
    <x v="85"/>
    <x v="0"/>
    <x v="3"/>
    <x v="35"/>
  </r>
  <r>
    <x v="53"/>
    <n v="7826"/>
    <n v="1221"/>
    <n v="14"/>
    <x v="2"/>
    <x v="11"/>
    <x v="0"/>
    <x v="85"/>
    <x v="86"/>
    <x v="3"/>
    <x v="4"/>
    <x v="40"/>
  </r>
  <r>
    <x v="54"/>
    <n v="770"/>
    <n v="241"/>
    <n v="11"/>
    <x v="2"/>
    <x v="7"/>
    <x v="4"/>
    <x v="86"/>
    <x v="87"/>
    <x v="4"/>
    <x v="10"/>
    <x v="35"/>
  </r>
  <r>
    <x v="54"/>
    <n v="770"/>
    <n v="241"/>
    <n v="11"/>
    <x v="2"/>
    <x v="7"/>
    <x v="4"/>
    <x v="87"/>
    <x v="88"/>
    <x v="5"/>
    <x v="13"/>
    <x v="45"/>
  </r>
  <r>
    <x v="55"/>
    <n v="9895"/>
    <n v="1598"/>
    <n v="20"/>
    <x v="2"/>
    <x v="11"/>
    <x v="4"/>
    <x v="88"/>
    <x v="89"/>
    <x v="2"/>
    <x v="7"/>
    <x v="16"/>
  </r>
  <r>
    <x v="56"/>
    <n v="6517"/>
    <n v="1581"/>
    <n v="10"/>
    <x v="1"/>
    <x v="8"/>
    <x v="1"/>
    <x v="89"/>
    <x v="90"/>
    <x v="0"/>
    <x v="0"/>
    <x v="3"/>
  </r>
  <r>
    <x v="56"/>
    <n v="6517"/>
    <n v="1581"/>
    <n v="10"/>
    <x v="1"/>
    <x v="8"/>
    <x v="1"/>
    <x v="90"/>
    <x v="91"/>
    <x v="0"/>
    <x v="16"/>
    <x v="8"/>
  </r>
  <r>
    <x v="56"/>
    <n v="1166"/>
    <n v="349"/>
    <n v="11"/>
    <x v="2"/>
    <x v="4"/>
    <x v="3"/>
    <x v="89"/>
    <x v="90"/>
    <x v="0"/>
    <x v="0"/>
    <x v="3"/>
  </r>
  <r>
    <x v="56"/>
    <n v="1166"/>
    <n v="349"/>
    <n v="11"/>
    <x v="2"/>
    <x v="4"/>
    <x v="3"/>
    <x v="90"/>
    <x v="91"/>
    <x v="0"/>
    <x v="16"/>
    <x v="8"/>
  </r>
  <r>
    <x v="57"/>
    <n v="9820"/>
    <n v="793"/>
    <n v="16"/>
    <x v="2"/>
    <x v="5"/>
    <x v="3"/>
    <x v="91"/>
    <x v="92"/>
    <x v="2"/>
    <x v="2"/>
    <x v="36"/>
  </r>
  <r>
    <x v="58"/>
    <n v="8563"/>
    <n v="2624"/>
    <n v="8"/>
    <x v="1"/>
    <x v="9"/>
    <x v="4"/>
    <x v="92"/>
    <x v="93"/>
    <x v="4"/>
    <x v="8"/>
    <x v="46"/>
  </r>
  <r>
    <x v="58"/>
    <n v="4441"/>
    <n v="281"/>
    <n v="20"/>
    <x v="0"/>
    <x v="1"/>
    <x v="4"/>
    <x v="92"/>
    <x v="93"/>
    <x v="4"/>
    <x v="8"/>
    <x v="46"/>
  </r>
  <r>
    <x v="59"/>
    <n v="7340"/>
    <n v="2271"/>
    <n v="8"/>
    <x v="1"/>
    <x v="8"/>
    <x v="2"/>
    <x v="93"/>
    <x v="94"/>
    <x v="0"/>
    <x v="3"/>
    <x v="13"/>
  </r>
  <r>
    <x v="59"/>
    <n v="5442"/>
    <n v="1610"/>
    <n v="1"/>
    <x v="0"/>
    <x v="10"/>
    <x v="2"/>
    <x v="93"/>
    <x v="94"/>
    <x v="0"/>
    <x v="3"/>
    <x v="13"/>
  </r>
  <r>
    <x v="60"/>
    <n v="1895"/>
    <n v="391"/>
    <n v="14"/>
    <x v="2"/>
    <x v="4"/>
    <x v="0"/>
    <x v="94"/>
    <x v="95"/>
    <x v="0"/>
    <x v="16"/>
    <x v="41"/>
  </r>
  <r>
    <x v="60"/>
    <n v="5323"/>
    <n v="322"/>
    <n v="13"/>
    <x v="1"/>
    <x v="9"/>
    <x v="4"/>
    <x v="94"/>
    <x v="95"/>
    <x v="0"/>
    <x v="16"/>
    <x v="41"/>
  </r>
  <r>
    <x v="61"/>
    <n v="8850"/>
    <n v="279"/>
    <n v="13"/>
    <x v="1"/>
    <x v="6"/>
    <x v="1"/>
    <x v="95"/>
    <x v="96"/>
    <x v="0"/>
    <x v="0"/>
    <x v="47"/>
  </r>
  <r>
    <x v="61"/>
    <n v="8667"/>
    <n v="1266"/>
    <n v="6"/>
    <x v="1"/>
    <x v="8"/>
    <x v="1"/>
    <x v="95"/>
    <x v="96"/>
    <x v="0"/>
    <x v="0"/>
    <x v="47"/>
  </r>
  <r>
    <x v="62"/>
    <n v="6903"/>
    <n v="105"/>
    <n v="1"/>
    <x v="2"/>
    <x v="4"/>
    <x v="4"/>
    <x v="96"/>
    <x v="97"/>
    <x v="1"/>
    <x v="1"/>
    <x v="3"/>
  </r>
  <r>
    <x v="62"/>
    <n v="8793"/>
    <n v="3010"/>
    <n v="7"/>
    <x v="1"/>
    <x v="2"/>
    <x v="4"/>
    <x v="96"/>
    <x v="97"/>
    <x v="1"/>
    <x v="1"/>
    <x v="3"/>
  </r>
  <r>
    <x v="63"/>
    <n v="9883"/>
    <n v="4812"/>
    <n v="16"/>
    <x v="1"/>
    <x v="8"/>
    <x v="0"/>
    <x v="97"/>
    <x v="98"/>
    <x v="2"/>
    <x v="2"/>
    <x v="20"/>
  </r>
  <r>
    <x v="63"/>
    <n v="9883"/>
    <n v="4812"/>
    <n v="16"/>
    <x v="1"/>
    <x v="8"/>
    <x v="0"/>
    <x v="98"/>
    <x v="99"/>
    <x v="0"/>
    <x v="3"/>
    <x v="40"/>
  </r>
  <r>
    <x v="63"/>
    <n v="9883"/>
    <n v="4812"/>
    <n v="16"/>
    <x v="1"/>
    <x v="8"/>
    <x v="0"/>
    <x v="99"/>
    <x v="100"/>
    <x v="1"/>
    <x v="6"/>
    <x v="4"/>
  </r>
  <r>
    <x v="63"/>
    <n v="5210"/>
    <n v="1185"/>
    <n v="7"/>
    <x v="1"/>
    <x v="8"/>
    <x v="0"/>
    <x v="97"/>
    <x v="98"/>
    <x v="2"/>
    <x v="2"/>
    <x v="20"/>
  </r>
  <r>
    <x v="63"/>
    <n v="5210"/>
    <n v="1185"/>
    <n v="7"/>
    <x v="1"/>
    <x v="8"/>
    <x v="0"/>
    <x v="98"/>
    <x v="99"/>
    <x v="0"/>
    <x v="3"/>
    <x v="40"/>
  </r>
  <r>
    <x v="63"/>
    <n v="5210"/>
    <n v="1185"/>
    <n v="7"/>
    <x v="1"/>
    <x v="8"/>
    <x v="0"/>
    <x v="99"/>
    <x v="100"/>
    <x v="1"/>
    <x v="6"/>
    <x v="4"/>
  </r>
  <r>
    <x v="64"/>
    <n v="3574"/>
    <n v="851"/>
    <n v="4"/>
    <x v="0"/>
    <x v="1"/>
    <x v="3"/>
    <x v="47"/>
    <x v="101"/>
    <x v="3"/>
    <x v="4"/>
    <x v="26"/>
  </r>
  <r>
    <x v="64"/>
    <n v="576"/>
    <n v="76"/>
    <n v="13"/>
    <x v="2"/>
    <x v="7"/>
    <x v="0"/>
    <x v="47"/>
    <x v="101"/>
    <x v="3"/>
    <x v="4"/>
    <x v="26"/>
  </r>
  <r>
    <x v="65"/>
    <n v="1860"/>
    <n v="457"/>
    <n v="13"/>
    <x v="0"/>
    <x v="1"/>
    <x v="2"/>
    <x v="100"/>
    <x v="102"/>
    <x v="5"/>
    <x v="14"/>
    <x v="48"/>
  </r>
  <r>
    <x v="66"/>
    <n v="782"/>
    <n v="374"/>
    <n v="8"/>
    <x v="1"/>
    <x v="2"/>
    <x v="2"/>
    <x v="101"/>
    <x v="103"/>
    <x v="1"/>
    <x v="17"/>
    <x v="49"/>
  </r>
  <r>
    <x v="66"/>
    <n v="4371"/>
    <n v="1852"/>
    <n v="1"/>
    <x v="0"/>
    <x v="3"/>
    <x v="0"/>
    <x v="101"/>
    <x v="103"/>
    <x v="1"/>
    <x v="17"/>
    <x v="49"/>
  </r>
  <r>
    <x v="67"/>
    <n v="8346"/>
    <n v="1176"/>
    <n v="1"/>
    <x v="0"/>
    <x v="10"/>
    <x v="4"/>
    <x v="102"/>
    <x v="104"/>
    <x v="4"/>
    <x v="15"/>
    <x v="38"/>
  </r>
  <r>
    <x v="67"/>
    <n v="8346"/>
    <n v="1176"/>
    <n v="1"/>
    <x v="0"/>
    <x v="10"/>
    <x v="4"/>
    <x v="103"/>
    <x v="105"/>
    <x v="1"/>
    <x v="1"/>
    <x v="28"/>
  </r>
  <r>
    <x v="67"/>
    <n v="8346"/>
    <n v="1176"/>
    <n v="1"/>
    <x v="0"/>
    <x v="10"/>
    <x v="4"/>
    <x v="104"/>
    <x v="106"/>
    <x v="3"/>
    <x v="11"/>
    <x v="16"/>
  </r>
  <r>
    <x v="67"/>
    <n v="6218"/>
    <n v="1125"/>
    <n v="5"/>
    <x v="2"/>
    <x v="4"/>
    <x v="1"/>
    <x v="102"/>
    <x v="104"/>
    <x v="4"/>
    <x v="15"/>
    <x v="38"/>
  </r>
  <r>
    <x v="67"/>
    <n v="6218"/>
    <n v="1125"/>
    <n v="5"/>
    <x v="2"/>
    <x v="4"/>
    <x v="1"/>
    <x v="103"/>
    <x v="105"/>
    <x v="1"/>
    <x v="1"/>
    <x v="28"/>
  </r>
  <r>
    <x v="67"/>
    <n v="6218"/>
    <n v="1125"/>
    <n v="5"/>
    <x v="2"/>
    <x v="4"/>
    <x v="1"/>
    <x v="104"/>
    <x v="106"/>
    <x v="3"/>
    <x v="11"/>
    <x v="16"/>
  </r>
  <r>
    <x v="67"/>
    <n v="5167"/>
    <n v="253"/>
    <n v="14"/>
    <x v="0"/>
    <x v="1"/>
    <x v="3"/>
    <x v="102"/>
    <x v="104"/>
    <x v="4"/>
    <x v="15"/>
    <x v="38"/>
  </r>
  <r>
    <x v="67"/>
    <n v="5167"/>
    <n v="253"/>
    <n v="14"/>
    <x v="0"/>
    <x v="1"/>
    <x v="3"/>
    <x v="103"/>
    <x v="105"/>
    <x v="1"/>
    <x v="1"/>
    <x v="28"/>
  </r>
  <r>
    <x v="67"/>
    <n v="5167"/>
    <n v="253"/>
    <n v="14"/>
    <x v="0"/>
    <x v="1"/>
    <x v="3"/>
    <x v="104"/>
    <x v="106"/>
    <x v="3"/>
    <x v="11"/>
    <x v="16"/>
  </r>
  <r>
    <x v="67"/>
    <n v="2799"/>
    <n v="1239"/>
    <n v="5"/>
    <x v="2"/>
    <x v="7"/>
    <x v="1"/>
    <x v="102"/>
    <x v="104"/>
    <x v="4"/>
    <x v="15"/>
    <x v="38"/>
  </r>
  <r>
    <x v="67"/>
    <n v="2799"/>
    <n v="1239"/>
    <n v="5"/>
    <x v="2"/>
    <x v="7"/>
    <x v="1"/>
    <x v="103"/>
    <x v="105"/>
    <x v="1"/>
    <x v="1"/>
    <x v="28"/>
  </r>
  <r>
    <x v="67"/>
    <n v="2799"/>
    <n v="1239"/>
    <n v="5"/>
    <x v="2"/>
    <x v="7"/>
    <x v="1"/>
    <x v="104"/>
    <x v="106"/>
    <x v="3"/>
    <x v="11"/>
    <x v="16"/>
  </r>
  <r>
    <x v="68"/>
    <n v="3234"/>
    <n v="1029"/>
    <n v="20"/>
    <x v="1"/>
    <x v="6"/>
    <x v="3"/>
    <x v="105"/>
    <x v="107"/>
    <x v="0"/>
    <x v="0"/>
    <x v="25"/>
  </r>
  <r>
    <x v="69"/>
    <n v="4920"/>
    <n v="775"/>
    <n v="12"/>
    <x v="2"/>
    <x v="4"/>
    <x v="1"/>
    <x v="106"/>
    <x v="108"/>
    <x v="1"/>
    <x v="6"/>
    <x v="36"/>
  </r>
  <r>
    <x v="69"/>
    <n v="9078"/>
    <n v="2213"/>
    <n v="15"/>
    <x v="2"/>
    <x v="11"/>
    <x v="2"/>
    <x v="106"/>
    <x v="108"/>
    <x v="1"/>
    <x v="6"/>
    <x v="36"/>
  </r>
  <r>
    <x v="70"/>
    <n v="8586"/>
    <n v="3826"/>
    <n v="7"/>
    <x v="2"/>
    <x v="11"/>
    <x v="0"/>
    <x v="107"/>
    <x v="109"/>
    <x v="0"/>
    <x v="0"/>
    <x v="50"/>
  </r>
  <r>
    <x v="70"/>
    <n v="8586"/>
    <n v="3826"/>
    <n v="7"/>
    <x v="2"/>
    <x v="11"/>
    <x v="0"/>
    <x v="108"/>
    <x v="110"/>
    <x v="0"/>
    <x v="16"/>
    <x v="17"/>
  </r>
  <r>
    <x v="71"/>
    <n v="5047"/>
    <n v="2211"/>
    <n v="13"/>
    <x v="2"/>
    <x v="7"/>
    <x v="2"/>
    <x v="109"/>
    <x v="111"/>
    <x v="3"/>
    <x v="11"/>
    <x v="21"/>
  </r>
  <r>
    <x v="71"/>
    <n v="5047"/>
    <n v="2211"/>
    <n v="13"/>
    <x v="2"/>
    <x v="7"/>
    <x v="2"/>
    <x v="110"/>
    <x v="112"/>
    <x v="1"/>
    <x v="1"/>
    <x v="51"/>
  </r>
  <r>
    <x v="71"/>
    <n v="5047"/>
    <n v="2211"/>
    <n v="13"/>
    <x v="2"/>
    <x v="7"/>
    <x v="2"/>
    <x v="111"/>
    <x v="113"/>
    <x v="1"/>
    <x v="17"/>
    <x v="24"/>
  </r>
  <r>
    <x v="71"/>
    <n v="5047"/>
    <n v="2211"/>
    <n v="13"/>
    <x v="2"/>
    <x v="7"/>
    <x v="2"/>
    <x v="112"/>
    <x v="114"/>
    <x v="2"/>
    <x v="2"/>
    <x v="37"/>
  </r>
  <r>
    <x v="72"/>
    <n v="3657"/>
    <n v="163"/>
    <n v="1"/>
    <x v="2"/>
    <x v="7"/>
    <x v="0"/>
    <x v="113"/>
    <x v="115"/>
    <x v="3"/>
    <x v="11"/>
    <x v="18"/>
  </r>
  <r>
    <x v="73"/>
    <n v="6471"/>
    <n v="2842"/>
    <n v="18"/>
    <x v="0"/>
    <x v="0"/>
    <x v="0"/>
    <x v="114"/>
    <x v="116"/>
    <x v="1"/>
    <x v="17"/>
    <x v="41"/>
  </r>
  <r>
    <x v="74"/>
    <n v="949"/>
    <n v="301"/>
    <n v="9"/>
    <x v="1"/>
    <x v="9"/>
    <x v="0"/>
    <x v="115"/>
    <x v="117"/>
    <x v="5"/>
    <x v="14"/>
    <x v="1"/>
  </r>
  <r>
    <x v="74"/>
    <n v="6823"/>
    <n v="771"/>
    <n v="6"/>
    <x v="1"/>
    <x v="9"/>
    <x v="2"/>
    <x v="115"/>
    <x v="117"/>
    <x v="5"/>
    <x v="14"/>
    <x v="1"/>
  </r>
  <r>
    <x v="74"/>
    <n v="4364"/>
    <n v="831"/>
    <n v="2"/>
    <x v="2"/>
    <x v="4"/>
    <x v="2"/>
    <x v="115"/>
    <x v="117"/>
    <x v="5"/>
    <x v="14"/>
    <x v="1"/>
  </r>
  <r>
    <x v="75"/>
    <n v="6671"/>
    <n v="2797"/>
    <n v="10"/>
    <x v="0"/>
    <x v="10"/>
    <x v="0"/>
    <x v="116"/>
    <x v="118"/>
    <x v="1"/>
    <x v="17"/>
    <x v="29"/>
  </r>
  <r>
    <x v="76"/>
    <n v="7472"/>
    <n v="1037"/>
    <n v="3"/>
    <x v="1"/>
    <x v="8"/>
    <x v="4"/>
    <x v="117"/>
    <x v="119"/>
    <x v="1"/>
    <x v="6"/>
    <x v="15"/>
  </r>
  <r>
    <x v="76"/>
    <n v="9548"/>
    <n v="1806"/>
    <n v="9"/>
    <x v="0"/>
    <x v="1"/>
    <x v="4"/>
    <x v="117"/>
    <x v="119"/>
    <x v="1"/>
    <x v="6"/>
    <x v="15"/>
  </r>
  <r>
    <x v="77"/>
    <n v="7759"/>
    <n v="3741"/>
    <n v="17"/>
    <x v="0"/>
    <x v="1"/>
    <x v="0"/>
    <x v="118"/>
    <x v="120"/>
    <x v="0"/>
    <x v="0"/>
    <x v="34"/>
  </r>
  <r>
    <x v="77"/>
    <n v="7759"/>
    <n v="3741"/>
    <n v="17"/>
    <x v="0"/>
    <x v="1"/>
    <x v="0"/>
    <x v="119"/>
    <x v="121"/>
    <x v="4"/>
    <x v="8"/>
    <x v="52"/>
  </r>
  <r>
    <x v="77"/>
    <n v="7521"/>
    <n v="3457"/>
    <n v="16"/>
    <x v="1"/>
    <x v="6"/>
    <x v="1"/>
    <x v="118"/>
    <x v="120"/>
    <x v="0"/>
    <x v="0"/>
    <x v="34"/>
  </r>
  <r>
    <x v="77"/>
    <n v="7521"/>
    <n v="3457"/>
    <n v="16"/>
    <x v="1"/>
    <x v="6"/>
    <x v="1"/>
    <x v="119"/>
    <x v="121"/>
    <x v="4"/>
    <x v="8"/>
    <x v="52"/>
  </r>
  <r>
    <x v="78"/>
    <n v="9704"/>
    <n v="4339"/>
    <n v="12"/>
    <x v="1"/>
    <x v="2"/>
    <x v="4"/>
    <x v="120"/>
    <x v="122"/>
    <x v="4"/>
    <x v="15"/>
    <x v="34"/>
  </r>
  <r>
    <x v="78"/>
    <n v="4948"/>
    <n v="2356"/>
    <n v="18"/>
    <x v="0"/>
    <x v="1"/>
    <x v="1"/>
    <x v="120"/>
    <x v="122"/>
    <x v="4"/>
    <x v="15"/>
    <x v="34"/>
  </r>
  <r>
    <x v="78"/>
    <n v="6435"/>
    <n v="334"/>
    <n v="10"/>
    <x v="0"/>
    <x v="0"/>
    <x v="1"/>
    <x v="120"/>
    <x v="122"/>
    <x v="4"/>
    <x v="15"/>
    <x v="34"/>
  </r>
  <r>
    <x v="79"/>
    <n v="9965"/>
    <n v="3033"/>
    <n v="16"/>
    <x v="1"/>
    <x v="6"/>
    <x v="4"/>
    <x v="121"/>
    <x v="123"/>
    <x v="3"/>
    <x v="11"/>
    <x v="53"/>
  </r>
  <r>
    <x v="79"/>
    <n v="9965"/>
    <n v="3033"/>
    <n v="16"/>
    <x v="1"/>
    <x v="6"/>
    <x v="4"/>
    <x v="122"/>
    <x v="124"/>
    <x v="2"/>
    <x v="2"/>
    <x v="48"/>
  </r>
  <r>
    <x v="80"/>
    <n v="1523"/>
    <n v="234"/>
    <n v="3"/>
    <x v="2"/>
    <x v="7"/>
    <x v="0"/>
    <x v="123"/>
    <x v="125"/>
    <x v="2"/>
    <x v="7"/>
    <x v="0"/>
  </r>
  <r>
    <x v="80"/>
    <n v="9073"/>
    <n v="424"/>
    <n v="7"/>
    <x v="0"/>
    <x v="0"/>
    <x v="1"/>
    <x v="123"/>
    <x v="125"/>
    <x v="2"/>
    <x v="7"/>
    <x v="0"/>
  </r>
  <r>
    <x v="81"/>
    <n v="6447"/>
    <n v="3079"/>
    <n v="20"/>
    <x v="0"/>
    <x v="3"/>
    <x v="4"/>
    <x v="124"/>
    <x v="126"/>
    <x v="2"/>
    <x v="7"/>
    <x v="34"/>
  </r>
  <r>
    <x v="81"/>
    <n v="8947"/>
    <n v="2807"/>
    <n v="6"/>
    <x v="0"/>
    <x v="0"/>
    <x v="3"/>
    <x v="124"/>
    <x v="126"/>
    <x v="2"/>
    <x v="7"/>
    <x v="34"/>
  </r>
  <r>
    <x v="82"/>
    <n v="914"/>
    <n v="400"/>
    <n v="8"/>
    <x v="1"/>
    <x v="2"/>
    <x v="1"/>
    <x v="125"/>
    <x v="127"/>
    <x v="3"/>
    <x v="4"/>
    <x v="49"/>
  </r>
  <r>
    <x v="82"/>
    <n v="1548"/>
    <n v="666"/>
    <n v="3"/>
    <x v="1"/>
    <x v="8"/>
    <x v="3"/>
    <x v="125"/>
    <x v="127"/>
    <x v="3"/>
    <x v="4"/>
    <x v="49"/>
  </r>
  <r>
    <x v="83"/>
    <n v="2759"/>
    <n v="1149"/>
    <n v="6"/>
    <x v="2"/>
    <x v="4"/>
    <x v="3"/>
    <x v="1"/>
    <x v="128"/>
    <x v="2"/>
    <x v="5"/>
    <x v="1"/>
  </r>
  <r>
    <x v="84"/>
    <n v="1341"/>
    <n v="615"/>
    <n v="4"/>
    <x v="0"/>
    <x v="3"/>
    <x v="0"/>
    <x v="126"/>
    <x v="129"/>
    <x v="0"/>
    <x v="3"/>
    <x v="40"/>
  </r>
  <r>
    <x v="85"/>
    <n v="9851"/>
    <n v="2669"/>
    <n v="19"/>
    <x v="0"/>
    <x v="0"/>
    <x v="1"/>
    <x v="127"/>
    <x v="130"/>
    <x v="5"/>
    <x v="14"/>
    <x v="25"/>
  </r>
  <r>
    <x v="85"/>
    <n v="9851"/>
    <n v="2669"/>
    <n v="19"/>
    <x v="0"/>
    <x v="0"/>
    <x v="1"/>
    <x v="128"/>
    <x v="131"/>
    <x v="2"/>
    <x v="2"/>
    <x v="17"/>
  </r>
  <r>
    <x v="85"/>
    <n v="9851"/>
    <n v="2669"/>
    <n v="19"/>
    <x v="0"/>
    <x v="0"/>
    <x v="1"/>
    <x v="129"/>
    <x v="132"/>
    <x v="0"/>
    <x v="3"/>
    <x v="24"/>
  </r>
  <r>
    <x v="85"/>
    <n v="9989"/>
    <n v="3930"/>
    <n v="14"/>
    <x v="2"/>
    <x v="4"/>
    <x v="1"/>
    <x v="127"/>
    <x v="130"/>
    <x v="5"/>
    <x v="14"/>
    <x v="25"/>
  </r>
  <r>
    <x v="85"/>
    <n v="9989"/>
    <n v="3930"/>
    <n v="14"/>
    <x v="2"/>
    <x v="4"/>
    <x v="1"/>
    <x v="128"/>
    <x v="131"/>
    <x v="2"/>
    <x v="2"/>
    <x v="17"/>
  </r>
  <r>
    <x v="85"/>
    <n v="9989"/>
    <n v="3930"/>
    <n v="14"/>
    <x v="2"/>
    <x v="4"/>
    <x v="1"/>
    <x v="129"/>
    <x v="132"/>
    <x v="0"/>
    <x v="3"/>
    <x v="24"/>
  </r>
  <r>
    <x v="86"/>
    <n v="7421"/>
    <n v="958"/>
    <n v="10"/>
    <x v="2"/>
    <x v="4"/>
    <x v="4"/>
    <x v="130"/>
    <x v="133"/>
    <x v="4"/>
    <x v="15"/>
    <x v="29"/>
  </r>
  <r>
    <x v="86"/>
    <n v="7421"/>
    <n v="958"/>
    <n v="10"/>
    <x v="2"/>
    <x v="4"/>
    <x v="4"/>
    <x v="39"/>
    <x v="134"/>
    <x v="4"/>
    <x v="15"/>
    <x v="12"/>
  </r>
  <r>
    <x v="86"/>
    <n v="7421"/>
    <n v="958"/>
    <n v="10"/>
    <x v="2"/>
    <x v="4"/>
    <x v="4"/>
    <x v="131"/>
    <x v="135"/>
    <x v="4"/>
    <x v="8"/>
    <x v="54"/>
  </r>
  <r>
    <x v="87"/>
    <n v="3099"/>
    <n v="479"/>
    <n v="1"/>
    <x v="1"/>
    <x v="8"/>
    <x v="4"/>
    <x v="19"/>
    <x v="136"/>
    <x v="2"/>
    <x v="2"/>
    <x v="12"/>
  </r>
  <r>
    <x v="87"/>
    <n v="2521"/>
    <n v="906"/>
    <n v="7"/>
    <x v="0"/>
    <x v="10"/>
    <x v="4"/>
    <x v="19"/>
    <x v="136"/>
    <x v="2"/>
    <x v="2"/>
    <x v="12"/>
  </r>
  <r>
    <x v="88"/>
    <n v="6962"/>
    <n v="3429"/>
    <n v="12"/>
    <x v="0"/>
    <x v="0"/>
    <x v="0"/>
    <x v="132"/>
    <x v="137"/>
    <x v="4"/>
    <x v="8"/>
    <x v="55"/>
  </r>
  <r>
    <x v="88"/>
    <n v="6962"/>
    <n v="3429"/>
    <n v="12"/>
    <x v="0"/>
    <x v="0"/>
    <x v="0"/>
    <x v="133"/>
    <x v="138"/>
    <x v="0"/>
    <x v="0"/>
    <x v="9"/>
  </r>
  <r>
    <x v="89"/>
    <n v="1085"/>
    <n v="301"/>
    <n v="20"/>
    <x v="2"/>
    <x v="11"/>
    <x v="0"/>
    <x v="134"/>
    <x v="139"/>
    <x v="2"/>
    <x v="2"/>
    <x v="41"/>
  </r>
  <r>
    <x v="90"/>
    <n v="738"/>
    <n v="342"/>
    <n v="2"/>
    <x v="2"/>
    <x v="5"/>
    <x v="1"/>
    <x v="135"/>
    <x v="140"/>
    <x v="5"/>
    <x v="13"/>
    <x v="28"/>
  </r>
  <r>
    <x v="90"/>
    <n v="738"/>
    <n v="342"/>
    <n v="2"/>
    <x v="2"/>
    <x v="5"/>
    <x v="1"/>
    <x v="136"/>
    <x v="141"/>
    <x v="2"/>
    <x v="2"/>
    <x v="50"/>
  </r>
  <r>
    <x v="90"/>
    <n v="738"/>
    <n v="342"/>
    <n v="2"/>
    <x v="2"/>
    <x v="5"/>
    <x v="1"/>
    <x v="137"/>
    <x v="142"/>
    <x v="5"/>
    <x v="13"/>
    <x v="3"/>
  </r>
  <r>
    <x v="90"/>
    <n v="738"/>
    <n v="342"/>
    <n v="2"/>
    <x v="2"/>
    <x v="5"/>
    <x v="1"/>
    <x v="138"/>
    <x v="143"/>
    <x v="2"/>
    <x v="5"/>
    <x v="12"/>
  </r>
  <r>
    <x v="91"/>
    <n v="1366"/>
    <n v="242"/>
    <n v="17"/>
    <x v="0"/>
    <x v="0"/>
    <x v="2"/>
    <x v="139"/>
    <x v="144"/>
    <x v="5"/>
    <x v="12"/>
    <x v="48"/>
  </r>
  <r>
    <x v="91"/>
    <n v="1518"/>
    <n v="155"/>
    <n v="13"/>
    <x v="1"/>
    <x v="6"/>
    <x v="3"/>
    <x v="139"/>
    <x v="144"/>
    <x v="5"/>
    <x v="12"/>
    <x v="48"/>
  </r>
  <r>
    <x v="92"/>
    <n v="2962"/>
    <n v="1470"/>
    <n v="1"/>
    <x v="0"/>
    <x v="10"/>
    <x v="4"/>
    <x v="140"/>
    <x v="145"/>
    <x v="2"/>
    <x v="2"/>
    <x v="18"/>
  </r>
  <r>
    <x v="92"/>
    <n v="2962"/>
    <n v="1470"/>
    <n v="1"/>
    <x v="0"/>
    <x v="10"/>
    <x v="4"/>
    <x v="141"/>
    <x v="146"/>
    <x v="0"/>
    <x v="16"/>
    <x v="48"/>
  </r>
  <r>
    <x v="92"/>
    <n v="7131"/>
    <n v="718"/>
    <n v="12"/>
    <x v="0"/>
    <x v="1"/>
    <x v="0"/>
    <x v="140"/>
    <x v="145"/>
    <x v="2"/>
    <x v="2"/>
    <x v="18"/>
  </r>
  <r>
    <x v="92"/>
    <n v="7131"/>
    <n v="718"/>
    <n v="12"/>
    <x v="0"/>
    <x v="1"/>
    <x v="0"/>
    <x v="141"/>
    <x v="146"/>
    <x v="0"/>
    <x v="16"/>
    <x v="48"/>
  </r>
  <r>
    <x v="92"/>
    <n v="4200"/>
    <n v="855"/>
    <n v="10"/>
    <x v="1"/>
    <x v="6"/>
    <x v="2"/>
    <x v="140"/>
    <x v="145"/>
    <x v="2"/>
    <x v="2"/>
    <x v="18"/>
  </r>
  <r>
    <x v="92"/>
    <n v="4200"/>
    <n v="855"/>
    <n v="10"/>
    <x v="1"/>
    <x v="6"/>
    <x v="2"/>
    <x v="141"/>
    <x v="146"/>
    <x v="0"/>
    <x v="16"/>
    <x v="48"/>
  </r>
  <r>
    <x v="93"/>
    <n v="5934"/>
    <n v="1563"/>
    <n v="2"/>
    <x v="1"/>
    <x v="6"/>
    <x v="2"/>
    <x v="142"/>
    <x v="147"/>
    <x v="1"/>
    <x v="17"/>
    <x v="31"/>
  </r>
  <r>
    <x v="94"/>
    <n v="2701"/>
    <n v="322"/>
    <n v="11"/>
    <x v="0"/>
    <x v="1"/>
    <x v="0"/>
    <x v="143"/>
    <x v="148"/>
    <x v="2"/>
    <x v="5"/>
    <x v="33"/>
  </r>
  <r>
    <x v="94"/>
    <n v="7273"/>
    <n v="2702"/>
    <n v="18"/>
    <x v="1"/>
    <x v="8"/>
    <x v="4"/>
    <x v="143"/>
    <x v="148"/>
    <x v="2"/>
    <x v="5"/>
    <x v="33"/>
  </r>
  <r>
    <x v="95"/>
    <n v="2465"/>
    <n v="699"/>
    <n v="18"/>
    <x v="1"/>
    <x v="6"/>
    <x v="1"/>
    <x v="144"/>
    <x v="149"/>
    <x v="3"/>
    <x v="11"/>
    <x v="8"/>
  </r>
  <r>
    <x v="96"/>
    <n v="3479"/>
    <n v="1087"/>
    <n v="2"/>
    <x v="1"/>
    <x v="6"/>
    <x v="2"/>
    <x v="145"/>
    <x v="150"/>
    <x v="4"/>
    <x v="8"/>
    <x v="56"/>
  </r>
  <r>
    <x v="96"/>
    <n v="5457"/>
    <n v="1765"/>
    <n v="7"/>
    <x v="0"/>
    <x v="1"/>
    <x v="2"/>
    <x v="145"/>
    <x v="150"/>
    <x v="4"/>
    <x v="8"/>
    <x v="56"/>
  </r>
  <r>
    <x v="97"/>
    <n v="4957"/>
    <n v="1152"/>
    <n v="8"/>
    <x v="1"/>
    <x v="6"/>
    <x v="3"/>
    <x v="146"/>
    <x v="151"/>
    <x v="5"/>
    <x v="14"/>
    <x v="25"/>
  </r>
  <r>
    <x v="98"/>
    <n v="4404"/>
    <n v="858"/>
    <n v="17"/>
    <x v="1"/>
    <x v="2"/>
    <x v="1"/>
    <x v="147"/>
    <x v="152"/>
    <x v="5"/>
    <x v="12"/>
    <x v="55"/>
  </r>
  <r>
    <x v="98"/>
    <n v="8776"/>
    <n v="2529"/>
    <n v="15"/>
    <x v="2"/>
    <x v="7"/>
    <x v="3"/>
    <x v="147"/>
    <x v="152"/>
    <x v="5"/>
    <x v="12"/>
    <x v="55"/>
  </r>
  <r>
    <x v="99"/>
    <n v="9536"/>
    <n v="1437"/>
    <n v="9"/>
    <x v="0"/>
    <x v="10"/>
    <x v="0"/>
    <x v="148"/>
    <x v="153"/>
    <x v="0"/>
    <x v="3"/>
    <x v="32"/>
  </r>
  <r>
    <x v="99"/>
    <n v="2225"/>
    <n v="589"/>
    <n v="7"/>
    <x v="2"/>
    <x v="7"/>
    <x v="3"/>
    <x v="148"/>
    <x v="153"/>
    <x v="0"/>
    <x v="3"/>
    <x v="32"/>
  </r>
  <r>
    <x v="100"/>
    <n v="9574"/>
    <n v="4045"/>
    <n v="19"/>
    <x v="2"/>
    <x v="11"/>
    <x v="0"/>
    <x v="149"/>
    <x v="154"/>
    <x v="3"/>
    <x v="11"/>
    <x v="55"/>
  </r>
  <r>
    <x v="100"/>
    <n v="4382"/>
    <n v="482"/>
    <n v="17"/>
    <x v="0"/>
    <x v="0"/>
    <x v="4"/>
    <x v="149"/>
    <x v="154"/>
    <x v="3"/>
    <x v="11"/>
    <x v="55"/>
  </r>
  <r>
    <x v="101"/>
    <n v="8200"/>
    <n v="257"/>
    <n v="19"/>
    <x v="0"/>
    <x v="3"/>
    <x v="4"/>
    <x v="150"/>
    <x v="155"/>
    <x v="5"/>
    <x v="13"/>
    <x v="45"/>
  </r>
  <r>
    <x v="101"/>
    <n v="9316"/>
    <n v="3003"/>
    <n v="13"/>
    <x v="2"/>
    <x v="7"/>
    <x v="3"/>
    <x v="150"/>
    <x v="155"/>
    <x v="5"/>
    <x v="13"/>
    <x v="45"/>
  </r>
  <r>
    <x v="101"/>
    <n v="6379"/>
    <n v="3128"/>
    <n v="15"/>
    <x v="0"/>
    <x v="0"/>
    <x v="4"/>
    <x v="150"/>
    <x v="155"/>
    <x v="5"/>
    <x v="13"/>
    <x v="45"/>
  </r>
  <r>
    <x v="102"/>
    <n v="3348"/>
    <n v="568"/>
    <n v="5"/>
    <x v="1"/>
    <x v="6"/>
    <x v="3"/>
    <x v="151"/>
    <x v="156"/>
    <x v="5"/>
    <x v="14"/>
    <x v="55"/>
  </r>
  <r>
    <x v="102"/>
    <n v="3348"/>
    <n v="568"/>
    <n v="5"/>
    <x v="1"/>
    <x v="6"/>
    <x v="3"/>
    <x v="152"/>
    <x v="157"/>
    <x v="2"/>
    <x v="7"/>
    <x v="27"/>
  </r>
  <r>
    <x v="102"/>
    <n v="8856"/>
    <n v="2020"/>
    <n v="9"/>
    <x v="1"/>
    <x v="2"/>
    <x v="1"/>
    <x v="151"/>
    <x v="156"/>
    <x v="5"/>
    <x v="14"/>
    <x v="55"/>
  </r>
  <r>
    <x v="102"/>
    <n v="8856"/>
    <n v="2020"/>
    <n v="9"/>
    <x v="1"/>
    <x v="2"/>
    <x v="1"/>
    <x v="152"/>
    <x v="157"/>
    <x v="2"/>
    <x v="7"/>
    <x v="27"/>
  </r>
  <r>
    <x v="103"/>
    <n v="1760"/>
    <n v="619"/>
    <n v="16"/>
    <x v="2"/>
    <x v="7"/>
    <x v="1"/>
    <x v="153"/>
    <x v="158"/>
    <x v="5"/>
    <x v="12"/>
    <x v="43"/>
  </r>
  <r>
    <x v="103"/>
    <n v="1760"/>
    <n v="619"/>
    <n v="16"/>
    <x v="2"/>
    <x v="7"/>
    <x v="1"/>
    <x v="154"/>
    <x v="159"/>
    <x v="4"/>
    <x v="15"/>
    <x v="54"/>
  </r>
  <r>
    <x v="103"/>
    <n v="6351"/>
    <n v="986"/>
    <n v="15"/>
    <x v="0"/>
    <x v="1"/>
    <x v="0"/>
    <x v="153"/>
    <x v="158"/>
    <x v="5"/>
    <x v="12"/>
    <x v="43"/>
  </r>
  <r>
    <x v="103"/>
    <n v="6351"/>
    <n v="986"/>
    <n v="15"/>
    <x v="0"/>
    <x v="1"/>
    <x v="0"/>
    <x v="154"/>
    <x v="159"/>
    <x v="4"/>
    <x v="15"/>
    <x v="54"/>
  </r>
  <r>
    <x v="104"/>
    <n v="869"/>
    <n v="373"/>
    <n v="14"/>
    <x v="1"/>
    <x v="8"/>
    <x v="3"/>
    <x v="155"/>
    <x v="160"/>
    <x v="2"/>
    <x v="5"/>
    <x v="2"/>
  </r>
  <r>
    <x v="104"/>
    <n v="869"/>
    <n v="373"/>
    <n v="14"/>
    <x v="1"/>
    <x v="8"/>
    <x v="3"/>
    <x v="156"/>
    <x v="161"/>
    <x v="5"/>
    <x v="14"/>
    <x v="32"/>
  </r>
  <r>
    <x v="104"/>
    <n v="1486"/>
    <n v="114"/>
    <n v="7"/>
    <x v="2"/>
    <x v="11"/>
    <x v="0"/>
    <x v="155"/>
    <x v="160"/>
    <x v="2"/>
    <x v="5"/>
    <x v="2"/>
  </r>
  <r>
    <x v="104"/>
    <n v="1486"/>
    <n v="114"/>
    <n v="7"/>
    <x v="2"/>
    <x v="11"/>
    <x v="0"/>
    <x v="156"/>
    <x v="161"/>
    <x v="5"/>
    <x v="14"/>
    <x v="32"/>
  </r>
  <r>
    <x v="105"/>
    <n v="2999"/>
    <n v="145"/>
    <n v="13"/>
    <x v="1"/>
    <x v="9"/>
    <x v="4"/>
    <x v="157"/>
    <x v="162"/>
    <x v="1"/>
    <x v="1"/>
    <x v="40"/>
  </r>
  <r>
    <x v="105"/>
    <n v="5142"/>
    <n v="1916"/>
    <n v="20"/>
    <x v="1"/>
    <x v="8"/>
    <x v="2"/>
    <x v="157"/>
    <x v="162"/>
    <x v="1"/>
    <x v="1"/>
    <x v="40"/>
  </r>
  <r>
    <x v="106"/>
    <n v="1239"/>
    <n v="575"/>
    <n v="17"/>
    <x v="0"/>
    <x v="3"/>
    <x v="0"/>
    <x v="158"/>
    <x v="163"/>
    <x v="2"/>
    <x v="7"/>
    <x v="29"/>
  </r>
  <r>
    <x v="106"/>
    <n v="1239"/>
    <n v="575"/>
    <n v="17"/>
    <x v="0"/>
    <x v="3"/>
    <x v="0"/>
    <x v="159"/>
    <x v="164"/>
    <x v="1"/>
    <x v="6"/>
    <x v="33"/>
  </r>
  <r>
    <x v="106"/>
    <n v="1262"/>
    <n v="515"/>
    <n v="16"/>
    <x v="0"/>
    <x v="0"/>
    <x v="2"/>
    <x v="158"/>
    <x v="163"/>
    <x v="2"/>
    <x v="7"/>
    <x v="29"/>
  </r>
  <r>
    <x v="106"/>
    <n v="1262"/>
    <n v="515"/>
    <n v="16"/>
    <x v="0"/>
    <x v="0"/>
    <x v="2"/>
    <x v="159"/>
    <x v="164"/>
    <x v="1"/>
    <x v="6"/>
    <x v="33"/>
  </r>
  <r>
    <x v="107"/>
    <n v="1033"/>
    <n v="254"/>
    <n v="5"/>
    <x v="2"/>
    <x v="11"/>
    <x v="4"/>
    <x v="160"/>
    <x v="165"/>
    <x v="2"/>
    <x v="7"/>
    <x v="38"/>
  </r>
  <r>
    <x v="108"/>
    <n v="1518"/>
    <n v="159"/>
    <n v="19"/>
    <x v="0"/>
    <x v="1"/>
    <x v="0"/>
    <x v="161"/>
    <x v="166"/>
    <x v="3"/>
    <x v="9"/>
    <x v="57"/>
  </r>
  <r>
    <x v="109"/>
    <n v="8581"/>
    <n v="2444"/>
    <n v="2"/>
    <x v="1"/>
    <x v="8"/>
    <x v="1"/>
    <x v="162"/>
    <x v="167"/>
    <x v="1"/>
    <x v="17"/>
    <x v="50"/>
  </r>
  <r>
    <x v="109"/>
    <n v="8581"/>
    <n v="2444"/>
    <n v="2"/>
    <x v="1"/>
    <x v="8"/>
    <x v="1"/>
    <x v="163"/>
    <x v="168"/>
    <x v="0"/>
    <x v="3"/>
    <x v="11"/>
  </r>
  <r>
    <x v="110"/>
    <n v="1167"/>
    <n v="463"/>
    <n v="5"/>
    <x v="1"/>
    <x v="2"/>
    <x v="0"/>
    <x v="164"/>
    <x v="169"/>
    <x v="4"/>
    <x v="10"/>
    <x v="48"/>
  </r>
  <r>
    <x v="110"/>
    <n v="2841"/>
    <n v="803"/>
    <n v="20"/>
    <x v="0"/>
    <x v="3"/>
    <x v="3"/>
    <x v="164"/>
    <x v="169"/>
    <x v="4"/>
    <x v="10"/>
    <x v="48"/>
  </r>
  <r>
    <x v="110"/>
    <n v="5680"/>
    <n v="2159"/>
    <n v="19"/>
    <x v="2"/>
    <x v="4"/>
    <x v="0"/>
    <x v="164"/>
    <x v="169"/>
    <x v="4"/>
    <x v="10"/>
    <x v="48"/>
  </r>
  <r>
    <x v="111"/>
    <n v="8204"/>
    <n v="2382"/>
    <n v="6"/>
    <x v="1"/>
    <x v="2"/>
    <x v="0"/>
    <x v="165"/>
    <x v="170"/>
    <x v="1"/>
    <x v="1"/>
    <x v="7"/>
  </r>
  <r>
    <x v="111"/>
    <n v="8204"/>
    <n v="2382"/>
    <n v="6"/>
    <x v="1"/>
    <x v="2"/>
    <x v="0"/>
    <x v="97"/>
    <x v="171"/>
    <x v="2"/>
    <x v="2"/>
    <x v="20"/>
  </r>
  <r>
    <x v="111"/>
    <n v="2850"/>
    <n v="904"/>
    <n v="6"/>
    <x v="0"/>
    <x v="10"/>
    <x v="2"/>
    <x v="165"/>
    <x v="170"/>
    <x v="1"/>
    <x v="1"/>
    <x v="7"/>
  </r>
  <r>
    <x v="111"/>
    <n v="2850"/>
    <n v="904"/>
    <n v="6"/>
    <x v="0"/>
    <x v="10"/>
    <x v="2"/>
    <x v="97"/>
    <x v="171"/>
    <x v="2"/>
    <x v="2"/>
    <x v="20"/>
  </r>
  <r>
    <x v="112"/>
    <n v="907"/>
    <n v="391"/>
    <n v="9"/>
    <x v="1"/>
    <x v="2"/>
    <x v="3"/>
    <x v="166"/>
    <x v="172"/>
    <x v="2"/>
    <x v="5"/>
    <x v="21"/>
  </r>
  <r>
    <x v="113"/>
    <n v="2174"/>
    <n v="265"/>
    <n v="19"/>
    <x v="1"/>
    <x v="2"/>
    <x v="3"/>
    <x v="167"/>
    <x v="173"/>
    <x v="5"/>
    <x v="13"/>
    <x v="39"/>
  </r>
  <r>
    <x v="113"/>
    <n v="8541"/>
    <n v="2029"/>
    <n v="12"/>
    <x v="0"/>
    <x v="0"/>
    <x v="3"/>
    <x v="167"/>
    <x v="173"/>
    <x v="5"/>
    <x v="13"/>
    <x v="39"/>
  </r>
  <r>
    <x v="113"/>
    <n v="1931"/>
    <n v="551"/>
    <n v="3"/>
    <x v="2"/>
    <x v="11"/>
    <x v="2"/>
    <x v="167"/>
    <x v="173"/>
    <x v="5"/>
    <x v="13"/>
    <x v="39"/>
  </r>
  <r>
    <x v="114"/>
    <n v="1281"/>
    <n v="340"/>
    <n v="3"/>
    <x v="0"/>
    <x v="0"/>
    <x v="1"/>
    <x v="168"/>
    <x v="174"/>
    <x v="4"/>
    <x v="10"/>
    <x v="13"/>
  </r>
  <r>
    <x v="114"/>
    <n v="2404"/>
    <n v="253"/>
    <n v="15"/>
    <x v="0"/>
    <x v="3"/>
    <x v="4"/>
    <x v="168"/>
    <x v="174"/>
    <x v="4"/>
    <x v="10"/>
    <x v="13"/>
  </r>
  <r>
    <x v="115"/>
    <n v="2119"/>
    <n v="196"/>
    <n v="1"/>
    <x v="2"/>
    <x v="7"/>
    <x v="4"/>
    <x v="169"/>
    <x v="175"/>
    <x v="3"/>
    <x v="4"/>
    <x v="38"/>
  </r>
  <r>
    <x v="116"/>
    <n v="3137"/>
    <n v="571"/>
    <n v="9"/>
    <x v="1"/>
    <x v="2"/>
    <x v="1"/>
    <x v="170"/>
    <x v="176"/>
    <x v="1"/>
    <x v="1"/>
    <x v="9"/>
  </r>
  <r>
    <x v="117"/>
    <n v="2323"/>
    <n v="727"/>
    <n v="7"/>
    <x v="2"/>
    <x v="4"/>
    <x v="4"/>
    <x v="171"/>
    <x v="177"/>
    <x v="4"/>
    <x v="8"/>
    <x v="26"/>
  </r>
  <r>
    <x v="117"/>
    <n v="1368"/>
    <n v="406"/>
    <n v="9"/>
    <x v="2"/>
    <x v="11"/>
    <x v="0"/>
    <x v="171"/>
    <x v="177"/>
    <x v="4"/>
    <x v="8"/>
    <x v="26"/>
  </r>
  <r>
    <x v="118"/>
    <n v="9204"/>
    <n v="3289"/>
    <n v="16"/>
    <x v="0"/>
    <x v="3"/>
    <x v="3"/>
    <x v="172"/>
    <x v="178"/>
    <x v="0"/>
    <x v="0"/>
    <x v="42"/>
  </r>
  <r>
    <x v="118"/>
    <n v="9204"/>
    <n v="3289"/>
    <n v="16"/>
    <x v="0"/>
    <x v="3"/>
    <x v="3"/>
    <x v="173"/>
    <x v="179"/>
    <x v="0"/>
    <x v="0"/>
    <x v="22"/>
  </r>
  <r>
    <x v="118"/>
    <n v="9894"/>
    <n v="3698"/>
    <n v="20"/>
    <x v="1"/>
    <x v="8"/>
    <x v="2"/>
    <x v="172"/>
    <x v="178"/>
    <x v="0"/>
    <x v="0"/>
    <x v="42"/>
  </r>
  <r>
    <x v="118"/>
    <n v="9894"/>
    <n v="3698"/>
    <n v="20"/>
    <x v="1"/>
    <x v="8"/>
    <x v="2"/>
    <x v="173"/>
    <x v="179"/>
    <x v="0"/>
    <x v="0"/>
    <x v="22"/>
  </r>
  <r>
    <x v="119"/>
    <n v="5322"/>
    <n v="1423"/>
    <n v="18"/>
    <x v="2"/>
    <x v="7"/>
    <x v="4"/>
    <x v="174"/>
    <x v="180"/>
    <x v="4"/>
    <x v="15"/>
    <x v="29"/>
  </r>
  <r>
    <x v="119"/>
    <n v="5322"/>
    <n v="1423"/>
    <n v="18"/>
    <x v="2"/>
    <x v="7"/>
    <x v="4"/>
    <x v="175"/>
    <x v="181"/>
    <x v="4"/>
    <x v="8"/>
    <x v="16"/>
  </r>
  <r>
    <x v="120"/>
    <n v="2666"/>
    <n v="559"/>
    <n v="14"/>
    <x v="2"/>
    <x v="5"/>
    <x v="4"/>
    <x v="176"/>
    <x v="182"/>
    <x v="5"/>
    <x v="14"/>
    <x v="58"/>
  </r>
  <r>
    <x v="121"/>
    <n v="8383"/>
    <n v="937"/>
    <n v="4"/>
    <x v="2"/>
    <x v="7"/>
    <x v="0"/>
    <x v="177"/>
    <x v="183"/>
    <x v="0"/>
    <x v="3"/>
    <x v="3"/>
  </r>
  <r>
    <x v="122"/>
    <n v="7560"/>
    <n v="821"/>
    <n v="4"/>
    <x v="1"/>
    <x v="8"/>
    <x v="2"/>
    <x v="178"/>
    <x v="184"/>
    <x v="1"/>
    <x v="1"/>
    <x v="4"/>
  </r>
  <r>
    <x v="123"/>
    <n v="1314"/>
    <n v="490"/>
    <n v="16"/>
    <x v="2"/>
    <x v="7"/>
    <x v="0"/>
    <x v="179"/>
    <x v="185"/>
    <x v="2"/>
    <x v="2"/>
    <x v="35"/>
  </r>
  <r>
    <x v="123"/>
    <n v="4390"/>
    <n v="179"/>
    <n v="1"/>
    <x v="2"/>
    <x v="4"/>
    <x v="1"/>
    <x v="179"/>
    <x v="185"/>
    <x v="2"/>
    <x v="2"/>
    <x v="35"/>
  </r>
  <r>
    <x v="123"/>
    <n v="1150"/>
    <n v="58"/>
    <n v="7"/>
    <x v="1"/>
    <x v="9"/>
    <x v="1"/>
    <x v="179"/>
    <x v="185"/>
    <x v="2"/>
    <x v="2"/>
    <x v="35"/>
  </r>
  <r>
    <x v="124"/>
    <n v="1574"/>
    <n v="258"/>
    <n v="17"/>
    <x v="1"/>
    <x v="2"/>
    <x v="2"/>
    <x v="180"/>
    <x v="186"/>
    <x v="3"/>
    <x v="9"/>
    <x v="57"/>
  </r>
  <r>
    <x v="124"/>
    <n v="5635"/>
    <n v="318"/>
    <n v="17"/>
    <x v="1"/>
    <x v="9"/>
    <x v="0"/>
    <x v="180"/>
    <x v="186"/>
    <x v="3"/>
    <x v="9"/>
    <x v="57"/>
  </r>
  <r>
    <x v="124"/>
    <n v="6515"/>
    <n v="961"/>
    <n v="11"/>
    <x v="2"/>
    <x v="7"/>
    <x v="1"/>
    <x v="180"/>
    <x v="186"/>
    <x v="3"/>
    <x v="9"/>
    <x v="57"/>
  </r>
  <r>
    <x v="125"/>
    <n v="1231"/>
    <n v="214"/>
    <n v="20"/>
    <x v="0"/>
    <x v="3"/>
    <x v="1"/>
    <x v="181"/>
    <x v="187"/>
    <x v="5"/>
    <x v="12"/>
    <x v="54"/>
  </r>
  <r>
    <x v="125"/>
    <n v="1231"/>
    <n v="214"/>
    <n v="20"/>
    <x v="0"/>
    <x v="3"/>
    <x v="1"/>
    <x v="182"/>
    <x v="188"/>
    <x v="2"/>
    <x v="7"/>
    <x v="53"/>
  </r>
  <r>
    <x v="126"/>
    <n v="6891"/>
    <n v="2529"/>
    <n v="3"/>
    <x v="1"/>
    <x v="9"/>
    <x v="1"/>
    <x v="183"/>
    <x v="189"/>
    <x v="5"/>
    <x v="14"/>
    <x v="3"/>
  </r>
  <r>
    <x v="127"/>
    <n v="7524"/>
    <n v="2308"/>
    <n v="15"/>
    <x v="0"/>
    <x v="3"/>
    <x v="2"/>
    <x v="184"/>
    <x v="190"/>
    <x v="4"/>
    <x v="10"/>
    <x v="16"/>
  </r>
  <r>
    <x v="127"/>
    <n v="6864"/>
    <n v="1824"/>
    <n v="14"/>
    <x v="0"/>
    <x v="1"/>
    <x v="3"/>
    <x v="184"/>
    <x v="190"/>
    <x v="4"/>
    <x v="10"/>
    <x v="16"/>
  </r>
  <r>
    <x v="128"/>
    <n v="4215"/>
    <n v="432"/>
    <n v="14"/>
    <x v="2"/>
    <x v="5"/>
    <x v="1"/>
    <x v="185"/>
    <x v="191"/>
    <x v="5"/>
    <x v="12"/>
    <x v="42"/>
  </r>
  <r>
    <x v="129"/>
    <n v="622"/>
    <n v="218"/>
    <n v="19"/>
    <x v="2"/>
    <x v="11"/>
    <x v="3"/>
    <x v="186"/>
    <x v="192"/>
    <x v="3"/>
    <x v="9"/>
    <x v="47"/>
  </r>
  <r>
    <x v="129"/>
    <n v="1755"/>
    <n v="495"/>
    <n v="18"/>
    <x v="1"/>
    <x v="2"/>
    <x v="0"/>
    <x v="186"/>
    <x v="192"/>
    <x v="3"/>
    <x v="9"/>
    <x v="47"/>
  </r>
  <r>
    <x v="129"/>
    <n v="8020"/>
    <n v="3898"/>
    <n v="20"/>
    <x v="0"/>
    <x v="0"/>
    <x v="2"/>
    <x v="186"/>
    <x v="192"/>
    <x v="3"/>
    <x v="9"/>
    <x v="47"/>
  </r>
  <r>
    <x v="130"/>
    <n v="7333"/>
    <n v="1576"/>
    <n v="4"/>
    <x v="0"/>
    <x v="3"/>
    <x v="3"/>
    <x v="187"/>
    <x v="193"/>
    <x v="2"/>
    <x v="2"/>
    <x v="47"/>
  </r>
  <r>
    <x v="131"/>
    <n v="7690"/>
    <n v="1134"/>
    <n v="4"/>
    <x v="0"/>
    <x v="0"/>
    <x v="4"/>
    <x v="188"/>
    <x v="194"/>
    <x v="2"/>
    <x v="7"/>
    <x v="59"/>
  </r>
  <r>
    <x v="131"/>
    <n v="912"/>
    <n v="246"/>
    <n v="2"/>
    <x v="2"/>
    <x v="7"/>
    <x v="2"/>
    <x v="188"/>
    <x v="194"/>
    <x v="2"/>
    <x v="7"/>
    <x v="59"/>
  </r>
  <r>
    <x v="132"/>
    <n v="2791"/>
    <n v="894"/>
    <n v="14"/>
    <x v="0"/>
    <x v="3"/>
    <x v="4"/>
    <x v="189"/>
    <x v="195"/>
    <x v="4"/>
    <x v="10"/>
    <x v="15"/>
  </r>
  <r>
    <x v="132"/>
    <n v="2791"/>
    <n v="894"/>
    <n v="14"/>
    <x v="0"/>
    <x v="3"/>
    <x v="4"/>
    <x v="190"/>
    <x v="196"/>
    <x v="5"/>
    <x v="13"/>
    <x v="59"/>
  </r>
  <r>
    <x v="132"/>
    <n v="2791"/>
    <n v="894"/>
    <n v="14"/>
    <x v="0"/>
    <x v="3"/>
    <x v="4"/>
    <x v="191"/>
    <x v="197"/>
    <x v="4"/>
    <x v="8"/>
    <x v="51"/>
  </r>
  <r>
    <x v="132"/>
    <n v="6223"/>
    <n v="1478"/>
    <n v="3"/>
    <x v="2"/>
    <x v="7"/>
    <x v="1"/>
    <x v="189"/>
    <x v="195"/>
    <x v="4"/>
    <x v="10"/>
    <x v="15"/>
  </r>
  <r>
    <x v="132"/>
    <n v="6223"/>
    <n v="1478"/>
    <n v="3"/>
    <x v="2"/>
    <x v="7"/>
    <x v="1"/>
    <x v="190"/>
    <x v="196"/>
    <x v="5"/>
    <x v="13"/>
    <x v="59"/>
  </r>
  <r>
    <x v="132"/>
    <n v="6223"/>
    <n v="1478"/>
    <n v="3"/>
    <x v="2"/>
    <x v="7"/>
    <x v="1"/>
    <x v="191"/>
    <x v="197"/>
    <x v="4"/>
    <x v="8"/>
    <x v="51"/>
  </r>
  <r>
    <x v="132"/>
    <n v="8943"/>
    <n v="3121"/>
    <n v="17"/>
    <x v="2"/>
    <x v="5"/>
    <x v="1"/>
    <x v="189"/>
    <x v="195"/>
    <x v="4"/>
    <x v="10"/>
    <x v="15"/>
  </r>
  <r>
    <x v="132"/>
    <n v="8943"/>
    <n v="3121"/>
    <n v="17"/>
    <x v="2"/>
    <x v="5"/>
    <x v="1"/>
    <x v="190"/>
    <x v="196"/>
    <x v="5"/>
    <x v="13"/>
    <x v="59"/>
  </r>
  <r>
    <x v="132"/>
    <n v="8943"/>
    <n v="3121"/>
    <n v="17"/>
    <x v="2"/>
    <x v="5"/>
    <x v="1"/>
    <x v="191"/>
    <x v="197"/>
    <x v="4"/>
    <x v="8"/>
    <x v="51"/>
  </r>
  <r>
    <x v="132"/>
    <n v="3297"/>
    <n v="102"/>
    <n v="12"/>
    <x v="0"/>
    <x v="10"/>
    <x v="3"/>
    <x v="189"/>
    <x v="195"/>
    <x v="4"/>
    <x v="10"/>
    <x v="15"/>
  </r>
  <r>
    <x v="132"/>
    <n v="3297"/>
    <n v="102"/>
    <n v="12"/>
    <x v="0"/>
    <x v="10"/>
    <x v="3"/>
    <x v="190"/>
    <x v="196"/>
    <x v="5"/>
    <x v="13"/>
    <x v="59"/>
  </r>
  <r>
    <x v="132"/>
    <n v="3297"/>
    <n v="102"/>
    <n v="12"/>
    <x v="0"/>
    <x v="10"/>
    <x v="3"/>
    <x v="191"/>
    <x v="197"/>
    <x v="4"/>
    <x v="8"/>
    <x v="51"/>
  </r>
  <r>
    <x v="133"/>
    <n v="8769"/>
    <n v="1989"/>
    <n v="20"/>
    <x v="1"/>
    <x v="8"/>
    <x v="0"/>
    <x v="192"/>
    <x v="198"/>
    <x v="1"/>
    <x v="1"/>
    <x v="11"/>
  </r>
  <r>
    <x v="134"/>
    <n v="9057"/>
    <n v="1888"/>
    <n v="19"/>
    <x v="0"/>
    <x v="1"/>
    <x v="4"/>
    <x v="193"/>
    <x v="199"/>
    <x v="0"/>
    <x v="3"/>
    <x v="37"/>
  </r>
  <r>
    <x v="134"/>
    <n v="6864"/>
    <n v="3275"/>
    <n v="11"/>
    <x v="2"/>
    <x v="4"/>
    <x v="3"/>
    <x v="193"/>
    <x v="199"/>
    <x v="0"/>
    <x v="3"/>
    <x v="37"/>
  </r>
  <r>
    <x v="134"/>
    <n v="9200"/>
    <n v="809"/>
    <n v="13"/>
    <x v="0"/>
    <x v="3"/>
    <x v="4"/>
    <x v="193"/>
    <x v="199"/>
    <x v="0"/>
    <x v="3"/>
    <x v="37"/>
  </r>
  <r>
    <x v="135"/>
    <n v="6113"/>
    <n v="2508"/>
    <n v="6"/>
    <x v="0"/>
    <x v="3"/>
    <x v="0"/>
    <x v="194"/>
    <x v="200"/>
    <x v="0"/>
    <x v="3"/>
    <x v="47"/>
  </r>
  <r>
    <x v="135"/>
    <n v="7733"/>
    <n v="2784"/>
    <n v="15"/>
    <x v="2"/>
    <x v="4"/>
    <x v="2"/>
    <x v="194"/>
    <x v="200"/>
    <x v="0"/>
    <x v="3"/>
    <x v="47"/>
  </r>
  <r>
    <x v="135"/>
    <n v="8524"/>
    <n v="154"/>
    <n v="14"/>
    <x v="2"/>
    <x v="4"/>
    <x v="4"/>
    <x v="194"/>
    <x v="200"/>
    <x v="0"/>
    <x v="3"/>
    <x v="47"/>
  </r>
  <r>
    <x v="135"/>
    <n v="6187"/>
    <n v="2344"/>
    <n v="15"/>
    <x v="2"/>
    <x v="11"/>
    <x v="2"/>
    <x v="194"/>
    <x v="200"/>
    <x v="0"/>
    <x v="3"/>
    <x v="47"/>
  </r>
  <r>
    <x v="136"/>
    <n v="4364"/>
    <n v="148"/>
    <n v="18"/>
    <x v="2"/>
    <x v="4"/>
    <x v="2"/>
    <x v="195"/>
    <x v="201"/>
    <x v="5"/>
    <x v="13"/>
    <x v="58"/>
  </r>
  <r>
    <x v="136"/>
    <n v="736"/>
    <n v="286"/>
    <n v="12"/>
    <x v="1"/>
    <x v="2"/>
    <x v="2"/>
    <x v="195"/>
    <x v="201"/>
    <x v="5"/>
    <x v="13"/>
    <x v="58"/>
  </r>
  <r>
    <x v="137"/>
    <n v="9905"/>
    <n v="633"/>
    <n v="17"/>
    <x v="1"/>
    <x v="2"/>
    <x v="2"/>
    <x v="196"/>
    <x v="202"/>
    <x v="4"/>
    <x v="8"/>
    <x v="2"/>
  </r>
  <r>
    <x v="137"/>
    <n v="9905"/>
    <n v="633"/>
    <n v="17"/>
    <x v="1"/>
    <x v="2"/>
    <x v="2"/>
    <x v="197"/>
    <x v="203"/>
    <x v="0"/>
    <x v="16"/>
    <x v="4"/>
  </r>
  <r>
    <x v="138"/>
    <n v="2493"/>
    <n v="1221"/>
    <n v="9"/>
    <x v="1"/>
    <x v="8"/>
    <x v="3"/>
    <x v="198"/>
    <x v="204"/>
    <x v="1"/>
    <x v="6"/>
    <x v="44"/>
  </r>
  <r>
    <x v="138"/>
    <n v="9849"/>
    <n v="963"/>
    <n v="1"/>
    <x v="1"/>
    <x v="2"/>
    <x v="3"/>
    <x v="198"/>
    <x v="204"/>
    <x v="1"/>
    <x v="6"/>
    <x v="44"/>
  </r>
  <r>
    <x v="139"/>
    <n v="3423"/>
    <n v="804"/>
    <n v="4"/>
    <x v="0"/>
    <x v="1"/>
    <x v="3"/>
    <x v="199"/>
    <x v="205"/>
    <x v="1"/>
    <x v="17"/>
    <x v="60"/>
  </r>
  <r>
    <x v="139"/>
    <n v="3423"/>
    <n v="804"/>
    <n v="4"/>
    <x v="0"/>
    <x v="1"/>
    <x v="3"/>
    <x v="200"/>
    <x v="206"/>
    <x v="4"/>
    <x v="8"/>
    <x v="60"/>
  </r>
  <r>
    <x v="139"/>
    <n v="3423"/>
    <n v="804"/>
    <n v="4"/>
    <x v="0"/>
    <x v="1"/>
    <x v="3"/>
    <x v="201"/>
    <x v="207"/>
    <x v="4"/>
    <x v="10"/>
    <x v="10"/>
  </r>
  <r>
    <x v="139"/>
    <n v="3423"/>
    <n v="804"/>
    <n v="4"/>
    <x v="0"/>
    <x v="1"/>
    <x v="3"/>
    <x v="8"/>
    <x v="208"/>
    <x v="4"/>
    <x v="8"/>
    <x v="8"/>
  </r>
  <r>
    <x v="139"/>
    <n v="3423"/>
    <n v="804"/>
    <n v="4"/>
    <x v="0"/>
    <x v="1"/>
    <x v="3"/>
    <x v="202"/>
    <x v="209"/>
    <x v="5"/>
    <x v="13"/>
    <x v="35"/>
  </r>
  <r>
    <x v="140"/>
    <n v="3900"/>
    <n v="115"/>
    <n v="9"/>
    <x v="2"/>
    <x v="5"/>
    <x v="4"/>
    <x v="203"/>
    <x v="210"/>
    <x v="1"/>
    <x v="6"/>
    <x v="59"/>
  </r>
  <r>
    <x v="141"/>
    <n v="8568"/>
    <n v="2419"/>
    <n v="11"/>
    <x v="0"/>
    <x v="0"/>
    <x v="0"/>
    <x v="204"/>
    <x v="211"/>
    <x v="2"/>
    <x v="7"/>
    <x v="4"/>
  </r>
  <r>
    <x v="141"/>
    <n v="3283"/>
    <n v="71"/>
    <n v="6"/>
    <x v="1"/>
    <x v="2"/>
    <x v="2"/>
    <x v="204"/>
    <x v="211"/>
    <x v="2"/>
    <x v="7"/>
    <x v="4"/>
  </r>
  <r>
    <x v="142"/>
    <n v="7643"/>
    <n v="3720"/>
    <n v="19"/>
    <x v="0"/>
    <x v="0"/>
    <x v="2"/>
    <x v="205"/>
    <x v="212"/>
    <x v="4"/>
    <x v="8"/>
    <x v="58"/>
  </r>
  <r>
    <x v="143"/>
    <n v="3461"/>
    <n v="1537"/>
    <n v="15"/>
    <x v="2"/>
    <x v="7"/>
    <x v="2"/>
    <x v="206"/>
    <x v="213"/>
    <x v="1"/>
    <x v="1"/>
    <x v="19"/>
  </r>
  <r>
    <x v="143"/>
    <n v="5714"/>
    <n v="1438"/>
    <n v="6"/>
    <x v="0"/>
    <x v="0"/>
    <x v="3"/>
    <x v="206"/>
    <x v="213"/>
    <x v="1"/>
    <x v="1"/>
    <x v="19"/>
  </r>
  <r>
    <x v="143"/>
    <n v="3853"/>
    <n v="1457"/>
    <n v="10"/>
    <x v="1"/>
    <x v="9"/>
    <x v="4"/>
    <x v="206"/>
    <x v="213"/>
    <x v="1"/>
    <x v="1"/>
    <x v="19"/>
  </r>
  <r>
    <x v="144"/>
    <n v="6016"/>
    <n v="431"/>
    <n v="20"/>
    <x v="1"/>
    <x v="2"/>
    <x v="0"/>
    <x v="207"/>
    <x v="214"/>
    <x v="1"/>
    <x v="1"/>
    <x v="20"/>
  </r>
  <r>
    <x v="145"/>
    <n v="1290"/>
    <n v="204"/>
    <n v="12"/>
    <x v="1"/>
    <x v="6"/>
    <x v="0"/>
    <x v="208"/>
    <x v="215"/>
    <x v="2"/>
    <x v="2"/>
    <x v="47"/>
  </r>
  <r>
    <x v="145"/>
    <n v="1290"/>
    <n v="204"/>
    <n v="12"/>
    <x v="1"/>
    <x v="6"/>
    <x v="0"/>
    <x v="209"/>
    <x v="216"/>
    <x v="3"/>
    <x v="11"/>
    <x v="1"/>
  </r>
  <r>
    <x v="146"/>
    <n v="4569"/>
    <n v="1693"/>
    <n v="10"/>
    <x v="0"/>
    <x v="1"/>
    <x v="0"/>
    <x v="210"/>
    <x v="217"/>
    <x v="1"/>
    <x v="6"/>
    <x v="57"/>
  </r>
  <r>
    <x v="147"/>
    <n v="3083"/>
    <n v="1151"/>
    <n v="16"/>
    <x v="2"/>
    <x v="11"/>
    <x v="1"/>
    <x v="211"/>
    <x v="218"/>
    <x v="0"/>
    <x v="3"/>
    <x v="39"/>
  </r>
  <r>
    <x v="148"/>
    <n v="3522"/>
    <n v="898"/>
    <n v="15"/>
    <x v="1"/>
    <x v="2"/>
    <x v="3"/>
    <x v="212"/>
    <x v="219"/>
    <x v="5"/>
    <x v="14"/>
    <x v="19"/>
  </r>
  <r>
    <x v="148"/>
    <n v="3522"/>
    <n v="898"/>
    <n v="15"/>
    <x v="1"/>
    <x v="2"/>
    <x v="3"/>
    <x v="213"/>
    <x v="220"/>
    <x v="3"/>
    <x v="4"/>
    <x v="12"/>
  </r>
  <r>
    <x v="149"/>
    <n v="7301"/>
    <n v="3602"/>
    <n v="3"/>
    <x v="1"/>
    <x v="9"/>
    <x v="1"/>
    <x v="214"/>
    <x v="221"/>
    <x v="4"/>
    <x v="15"/>
    <x v="44"/>
  </r>
  <r>
    <x v="150"/>
    <n v="4462"/>
    <n v="121"/>
    <n v="8"/>
    <x v="0"/>
    <x v="3"/>
    <x v="4"/>
    <x v="215"/>
    <x v="222"/>
    <x v="1"/>
    <x v="6"/>
    <x v="39"/>
  </r>
  <r>
    <x v="150"/>
    <n v="6212"/>
    <n v="1881"/>
    <n v="17"/>
    <x v="0"/>
    <x v="10"/>
    <x v="4"/>
    <x v="215"/>
    <x v="222"/>
    <x v="1"/>
    <x v="6"/>
    <x v="39"/>
  </r>
  <r>
    <x v="151"/>
    <n v="4027"/>
    <n v="1386"/>
    <n v="3"/>
    <x v="2"/>
    <x v="11"/>
    <x v="2"/>
    <x v="216"/>
    <x v="223"/>
    <x v="0"/>
    <x v="16"/>
    <x v="38"/>
  </r>
  <r>
    <x v="152"/>
    <n v="1676"/>
    <n v="330"/>
    <n v="14"/>
    <x v="0"/>
    <x v="3"/>
    <x v="2"/>
    <x v="217"/>
    <x v="224"/>
    <x v="5"/>
    <x v="14"/>
    <x v="45"/>
  </r>
  <r>
    <x v="152"/>
    <n v="3927"/>
    <n v="1133"/>
    <n v="12"/>
    <x v="2"/>
    <x v="11"/>
    <x v="4"/>
    <x v="217"/>
    <x v="224"/>
    <x v="5"/>
    <x v="14"/>
    <x v="45"/>
  </r>
  <r>
    <x v="152"/>
    <n v="2776"/>
    <n v="887"/>
    <n v="9"/>
    <x v="0"/>
    <x v="10"/>
    <x v="1"/>
    <x v="217"/>
    <x v="224"/>
    <x v="5"/>
    <x v="14"/>
    <x v="45"/>
  </r>
  <r>
    <x v="153"/>
    <n v="7684"/>
    <n v="1157"/>
    <n v="12"/>
    <x v="2"/>
    <x v="7"/>
    <x v="4"/>
    <x v="218"/>
    <x v="225"/>
    <x v="1"/>
    <x v="1"/>
    <x v="20"/>
  </r>
  <r>
    <x v="153"/>
    <n v="7684"/>
    <n v="1157"/>
    <n v="12"/>
    <x v="2"/>
    <x v="7"/>
    <x v="4"/>
    <x v="219"/>
    <x v="226"/>
    <x v="2"/>
    <x v="2"/>
    <x v="53"/>
  </r>
  <r>
    <x v="153"/>
    <n v="7684"/>
    <n v="1157"/>
    <n v="12"/>
    <x v="2"/>
    <x v="7"/>
    <x v="4"/>
    <x v="27"/>
    <x v="227"/>
    <x v="5"/>
    <x v="12"/>
    <x v="21"/>
  </r>
  <r>
    <x v="154"/>
    <n v="6008"/>
    <n v="2498"/>
    <n v="17"/>
    <x v="0"/>
    <x v="10"/>
    <x v="3"/>
    <x v="176"/>
    <x v="228"/>
    <x v="0"/>
    <x v="0"/>
    <x v="58"/>
  </r>
  <r>
    <x v="155"/>
    <n v="7344"/>
    <n v="2598"/>
    <n v="20"/>
    <x v="2"/>
    <x v="11"/>
    <x v="4"/>
    <x v="220"/>
    <x v="229"/>
    <x v="4"/>
    <x v="8"/>
    <x v="40"/>
  </r>
  <r>
    <x v="156"/>
    <n v="6932"/>
    <n v="3218"/>
    <n v="20"/>
    <x v="1"/>
    <x v="2"/>
    <x v="4"/>
    <x v="221"/>
    <x v="230"/>
    <x v="0"/>
    <x v="3"/>
    <x v="60"/>
  </r>
  <r>
    <x v="157"/>
    <n v="7748"/>
    <n v="1706"/>
    <n v="16"/>
    <x v="0"/>
    <x v="0"/>
    <x v="2"/>
    <x v="222"/>
    <x v="231"/>
    <x v="5"/>
    <x v="13"/>
    <x v="8"/>
  </r>
  <r>
    <x v="157"/>
    <n v="6381"/>
    <n v="2763"/>
    <n v="20"/>
    <x v="1"/>
    <x v="6"/>
    <x v="0"/>
    <x v="222"/>
    <x v="231"/>
    <x v="5"/>
    <x v="13"/>
    <x v="8"/>
  </r>
  <r>
    <x v="157"/>
    <n v="992"/>
    <n v="64"/>
    <n v="6"/>
    <x v="0"/>
    <x v="10"/>
    <x v="3"/>
    <x v="222"/>
    <x v="231"/>
    <x v="5"/>
    <x v="13"/>
    <x v="8"/>
  </r>
  <r>
    <x v="158"/>
    <n v="8649"/>
    <n v="2631"/>
    <n v="13"/>
    <x v="0"/>
    <x v="3"/>
    <x v="2"/>
    <x v="223"/>
    <x v="232"/>
    <x v="3"/>
    <x v="11"/>
    <x v="10"/>
  </r>
  <r>
    <x v="158"/>
    <n v="8649"/>
    <n v="2631"/>
    <n v="13"/>
    <x v="0"/>
    <x v="3"/>
    <x v="2"/>
    <x v="224"/>
    <x v="233"/>
    <x v="2"/>
    <x v="7"/>
    <x v="57"/>
  </r>
  <r>
    <x v="159"/>
    <n v="4099"/>
    <n v="52"/>
    <n v="18"/>
    <x v="0"/>
    <x v="3"/>
    <x v="0"/>
    <x v="127"/>
    <x v="234"/>
    <x v="2"/>
    <x v="5"/>
    <x v="25"/>
  </r>
  <r>
    <x v="160"/>
    <n v="2539"/>
    <n v="324"/>
    <n v="5"/>
    <x v="0"/>
    <x v="0"/>
    <x v="0"/>
    <x v="225"/>
    <x v="235"/>
    <x v="3"/>
    <x v="11"/>
    <x v="49"/>
  </r>
  <r>
    <x v="161"/>
    <n v="9845"/>
    <n v="3062"/>
    <n v="9"/>
    <x v="1"/>
    <x v="8"/>
    <x v="4"/>
    <x v="226"/>
    <x v="236"/>
    <x v="0"/>
    <x v="3"/>
    <x v="30"/>
  </r>
  <r>
    <x v="162"/>
    <n v="2901"/>
    <n v="1411"/>
    <n v="2"/>
    <x v="1"/>
    <x v="8"/>
    <x v="1"/>
    <x v="227"/>
    <x v="237"/>
    <x v="4"/>
    <x v="10"/>
    <x v="4"/>
  </r>
  <r>
    <x v="162"/>
    <n v="2901"/>
    <n v="1411"/>
    <n v="2"/>
    <x v="1"/>
    <x v="8"/>
    <x v="1"/>
    <x v="228"/>
    <x v="238"/>
    <x v="3"/>
    <x v="4"/>
    <x v="54"/>
  </r>
  <r>
    <x v="162"/>
    <n v="6934"/>
    <n v="1152"/>
    <n v="6"/>
    <x v="1"/>
    <x v="2"/>
    <x v="3"/>
    <x v="227"/>
    <x v="237"/>
    <x v="4"/>
    <x v="10"/>
    <x v="4"/>
  </r>
  <r>
    <x v="162"/>
    <n v="6934"/>
    <n v="1152"/>
    <n v="6"/>
    <x v="1"/>
    <x v="2"/>
    <x v="3"/>
    <x v="228"/>
    <x v="238"/>
    <x v="3"/>
    <x v="4"/>
    <x v="54"/>
  </r>
  <r>
    <x v="163"/>
    <n v="9640"/>
    <n v="2606"/>
    <n v="2"/>
    <x v="2"/>
    <x v="11"/>
    <x v="3"/>
    <x v="229"/>
    <x v="239"/>
    <x v="1"/>
    <x v="17"/>
    <x v="4"/>
  </r>
  <r>
    <x v="164"/>
    <n v="7930"/>
    <n v="1981"/>
    <n v="13"/>
    <x v="2"/>
    <x v="5"/>
    <x v="3"/>
    <x v="230"/>
    <x v="240"/>
    <x v="5"/>
    <x v="14"/>
    <x v="23"/>
  </r>
  <r>
    <x v="164"/>
    <n v="7930"/>
    <n v="1981"/>
    <n v="13"/>
    <x v="2"/>
    <x v="5"/>
    <x v="3"/>
    <x v="231"/>
    <x v="241"/>
    <x v="1"/>
    <x v="6"/>
    <x v="19"/>
  </r>
  <r>
    <x v="165"/>
    <n v="9894"/>
    <n v="829"/>
    <n v="1"/>
    <x v="1"/>
    <x v="9"/>
    <x v="4"/>
    <x v="232"/>
    <x v="242"/>
    <x v="3"/>
    <x v="9"/>
    <x v="40"/>
  </r>
  <r>
    <x v="165"/>
    <n v="4534"/>
    <n v="2235"/>
    <n v="4"/>
    <x v="2"/>
    <x v="4"/>
    <x v="4"/>
    <x v="232"/>
    <x v="242"/>
    <x v="3"/>
    <x v="9"/>
    <x v="40"/>
  </r>
  <r>
    <x v="166"/>
    <n v="4911"/>
    <n v="186"/>
    <n v="20"/>
    <x v="0"/>
    <x v="10"/>
    <x v="1"/>
    <x v="233"/>
    <x v="243"/>
    <x v="2"/>
    <x v="2"/>
    <x v="33"/>
  </r>
  <r>
    <x v="166"/>
    <n v="531"/>
    <n v="189"/>
    <n v="20"/>
    <x v="2"/>
    <x v="11"/>
    <x v="1"/>
    <x v="233"/>
    <x v="243"/>
    <x v="2"/>
    <x v="2"/>
    <x v="33"/>
  </r>
  <r>
    <x v="167"/>
    <n v="9707"/>
    <n v="3483"/>
    <n v="10"/>
    <x v="0"/>
    <x v="0"/>
    <x v="2"/>
    <x v="234"/>
    <x v="244"/>
    <x v="1"/>
    <x v="17"/>
    <x v="52"/>
  </r>
  <r>
    <x v="167"/>
    <n v="8521"/>
    <n v="2584"/>
    <n v="7"/>
    <x v="1"/>
    <x v="8"/>
    <x v="4"/>
    <x v="234"/>
    <x v="244"/>
    <x v="1"/>
    <x v="17"/>
    <x v="52"/>
  </r>
  <r>
    <x v="168"/>
    <n v="8438"/>
    <n v="3427"/>
    <n v="12"/>
    <x v="1"/>
    <x v="9"/>
    <x v="3"/>
    <x v="213"/>
    <x v="245"/>
    <x v="2"/>
    <x v="2"/>
    <x v="12"/>
  </r>
  <r>
    <x v="168"/>
    <n v="1689"/>
    <n v="109"/>
    <n v="9"/>
    <x v="0"/>
    <x v="0"/>
    <x v="0"/>
    <x v="213"/>
    <x v="245"/>
    <x v="2"/>
    <x v="2"/>
    <x v="12"/>
  </r>
  <r>
    <x v="168"/>
    <n v="3936"/>
    <n v="1626"/>
    <n v="14"/>
    <x v="1"/>
    <x v="8"/>
    <x v="4"/>
    <x v="213"/>
    <x v="245"/>
    <x v="2"/>
    <x v="2"/>
    <x v="12"/>
  </r>
  <r>
    <x v="169"/>
    <n v="7664"/>
    <n v="1753"/>
    <n v="19"/>
    <x v="0"/>
    <x v="10"/>
    <x v="1"/>
    <x v="235"/>
    <x v="246"/>
    <x v="5"/>
    <x v="13"/>
    <x v="0"/>
  </r>
  <r>
    <x v="170"/>
    <n v="721"/>
    <n v="258"/>
    <n v="13"/>
    <x v="0"/>
    <x v="3"/>
    <x v="1"/>
    <x v="236"/>
    <x v="247"/>
    <x v="1"/>
    <x v="17"/>
    <x v="59"/>
  </r>
  <r>
    <x v="170"/>
    <n v="721"/>
    <n v="258"/>
    <n v="13"/>
    <x v="0"/>
    <x v="3"/>
    <x v="1"/>
    <x v="237"/>
    <x v="248"/>
    <x v="2"/>
    <x v="2"/>
    <x v="33"/>
  </r>
  <r>
    <x v="170"/>
    <n v="8364"/>
    <n v="3055"/>
    <n v="17"/>
    <x v="0"/>
    <x v="3"/>
    <x v="3"/>
    <x v="236"/>
    <x v="247"/>
    <x v="1"/>
    <x v="17"/>
    <x v="59"/>
  </r>
  <r>
    <x v="170"/>
    <n v="8364"/>
    <n v="3055"/>
    <n v="17"/>
    <x v="0"/>
    <x v="3"/>
    <x v="3"/>
    <x v="237"/>
    <x v="248"/>
    <x v="2"/>
    <x v="2"/>
    <x v="33"/>
  </r>
  <r>
    <x v="170"/>
    <n v="5234"/>
    <n v="2021"/>
    <n v="15"/>
    <x v="2"/>
    <x v="11"/>
    <x v="2"/>
    <x v="236"/>
    <x v="247"/>
    <x v="1"/>
    <x v="17"/>
    <x v="59"/>
  </r>
  <r>
    <x v="170"/>
    <n v="5234"/>
    <n v="2021"/>
    <n v="15"/>
    <x v="2"/>
    <x v="11"/>
    <x v="2"/>
    <x v="237"/>
    <x v="248"/>
    <x v="2"/>
    <x v="2"/>
    <x v="33"/>
  </r>
  <r>
    <x v="171"/>
    <n v="3944"/>
    <n v="1559"/>
    <n v="18"/>
    <x v="0"/>
    <x v="10"/>
    <x v="3"/>
    <x v="238"/>
    <x v="249"/>
    <x v="3"/>
    <x v="11"/>
    <x v="47"/>
  </r>
  <r>
    <x v="171"/>
    <n v="6711"/>
    <n v="1045"/>
    <n v="12"/>
    <x v="1"/>
    <x v="2"/>
    <x v="3"/>
    <x v="238"/>
    <x v="249"/>
    <x v="3"/>
    <x v="11"/>
    <x v="47"/>
  </r>
  <r>
    <x v="171"/>
    <n v="5031"/>
    <n v="714"/>
    <n v="4"/>
    <x v="2"/>
    <x v="4"/>
    <x v="3"/>
    <x v="238"/>
    <x v="249"/>
    <x v="3"/>
    <x v="11"/>
    <x v="47"/>
  </r>
  <r>
    <x v="171"/>
    <n v="6295"/>
    <n v="2469"/>
    <n v="14"/>
    <x v="1"/>
    <x v="9"/>
    <x v="2"/>
    <x v="238"/>
    <x v="249"/>
    <x v="3"/>
    <x v="11"/>
    <x v="47"/>
  </r>
  <r>
    <x v="172"/>
    <n v="9654"/>
    <n v="4111"/>
    <n v="1"/>
    <x v="1"/>
    <x v="8"/>
    <x v="0"/>
    <x v="45"/>
    <x v="250"/>
    <x v="3"/>
    <x v="11"/>
    <x v="33"/>
  </r>
  <r>
    <x v="172"/>
    <n v="3112"/>
    <n v="1065"/>
    <n v="20"/>
    <x v="1"/>
    <x v="9"/>
    <x v="4"/>
    <x v="45"/>
    <x v="250"/>
    <x v="3"/>
    <x v="11"/>
    <x v="33"/>
  </r>
  <r>
    <x v="173"/>
    <n v="7838"/>
    <n v="1142"/>
    <n v="13"/>
    <x v="0"/>
    <x v="10"/>
    <x v="0"/>
    <x v="239"/>
    <x v="251"/>
    <x v="3"/>
    <x v="11"/>
    <x v="51"/>
  </r>
  <r>
    <x v="173"/>
    <n v="9300"/>
    <n v="3146"/>
    <n v="6"/>
    <x v="0"/>
    <x v="10"/>
    <x v="3"/>
    <x v="239"/>
    <x v="251"/>
    <x v="3"/>
    <x v="11"/>
    <x v="51"/>
  </r>
  <r>
    <x v="173"/>
    <n v="1733"/>
    <n v="133"/>
    <n v="17"/>
    <x v="1"/>
    <x v="8"/>
    <x v="1"/>
    <x v="239"/>
    <x v="251"/>
    <x v="3"/>
    <x v="11"/>
    <x v="51"/>
  </r>
  <r>
    <x v="174"/>
    <n v="874"/>
    <n v="235"/>
    <n v="15"/>
    <x v="1"/>
    <x v="9"/>
    <x v="1"/>
    <x v="240"/>
    <x v="252"/>
    <x v="2"/>
    <x v="7"/>
    <x v="23"/>
  </r>
  <r>
    <x v="174"/>
    <n v="874"/>
    <n v="235"/>
    <n v="15"/>
    <x v="1"/>
    <x v="9"/>
    <x v="1"/>
    <x v="241"/>
    <x v="253"/>
    <x v="0"/>
    <x v="0"/>
    <x v="22"/>
  </r>
  <r>
    <x v="175"/>
    <n v="1248"/>
    <n v="584"/>
    <n v="13"/>
    <x v="1"/>
    <x v="2"/>
    <x v="2"/>
    <x v="242"/>
    <x v="254"/>
    <x v="5"/>
    <x v="12"/>
    <x v="10"/>
  </r>
  <r>
    <x v="175"/>
    <n v="1248"/>
    <n v="584"/>
    <n v="13"/>
    <x v="1"/>
    <x v="2"/>
    <x v="2"/>
    <x v="243"/>
    <x v="255"/>
    <x v="3"/>
    <x v="11"/>
    <x v="29"/>
  </r>
  <r>
    <x v="175"/>
    <n v="3669"/>
    <n v="154"/>
    <n v="14"/>
    <x v="1"/>
    <x v="6"/>
    <x v="2"/>
    <x v="242"/>
    <x v="254"/>
    <x v="5"/>
    <x v="12"/>
    <x v="10"/>
  </r>
  <r>
    <x v="175"/>
    <n v="3669"/>
    <n v="154"/>
    <n v="14"/>
    <x v="1"/>
    <x v="6"/>
    <x v="2"/>
    <x v="243"/>
    <x v="255"/>
    <x v="3"/>
    <x v="11"/>
    <x v="29"/>
  </r>
  <r>
    <x v="175"/>
    <n v="514"/>
    <n v="109"/>
    <n v="15"/>
    <x v="1"/>
    <x v="8"/>
    <x v="1"/>
    <x v="242"/>
    <x v="254"/>
    <x v="5"/>
    <x v="12"/>
    <x v="10"/>
  </r>
  <r>
    <x v="175"/>
    <n v="514"/>
    <n v="109"/>
    <n v="15"/>
    <x v="1"/>
    <x v="8"/>
    <x v="1"/>
    <x v="243"/>
    <x v="255"/>
    <x v="3"/>
    <x v="11"/>
    <x v="29"/>
  </r>
  <r>
    <x v="176"/>
    <n v="3273"/>
    <n v="85"/>
    <n v="16"/>
    <x v="0"/>
    <x v="10"/>
    <x v="0"/>
    <x v="244"/>
    <x v="256"/>
    <x v="5"/>
    <x v="13"/>
    <x v="55"/>
  </r>
  <r>
    <x v="177"/>
    <n v="5035"/>
    <n v="2008"/>
    <n v="2"/>
    <x v="2"/>
    <x v="5"/>
    <x v="4"/>
    <x v="245"/>
    <x v="257"/>
    <x v="0"/>
    <x v="0"/>
    <x v="32"/>
  </r>
  <r>
    <x v="177"/>
    <n v="7702"/>
    <n v="60"/>
    <n v="19"/>
    <x v="0"/>
    <x v="1"/>
    <x v="0"/>
    <x v="245"/>
    <x v="257"/>
    <x v="0"/>
    <x v="0"/>
    <x v="32"/>
  </r>
  <r>
    <x v="177"/>
    <n v="9884"/>
    <n v="4446"/>
    <n v="7"/>
    <x v="0"/>
    <x v="1"/>
    <x v="2"/>
    <x v="245"/>
    <x v="257"/>
    <x v="0"/>
    <x v="0"/>
    <x v="32"/>
  </r>
  <r>
    <x v="178"/>
    <n v="5564"/>
    <n v="175"/>
    <n v="11"/>
    <x v="0"/>
    <x v="3"/>
    <x v="4"/>
    <x v="246"/>
    <x v="258"/>
    <x v="1"/>
    <x v="1"/>
    <x v="54"/>
  </r>
  <r>
    <x v="178"/>
    <n v="5564"/>
    <n v="175"/>
    <n v="11"/>
    <x v="0"/>
    <x v="3"/>
    <x v="4"/>
    <x v="247"/>
    <x v="259"/>
    <x v="4"/>
    <x v="15"/>
    <x v="39"/>
  </r>
  <r>
    <x v="178"/>
    <n v="5564"/>
    <n v="175"/>
    <n v="11"/>
    <x v="0"/>
    <x v="3"/>
    <x v="4"/>
    <x v="248"/>
    <x v="260"/>
    <x v="0"/>
    <x v="0"/>
    <x v="16"/>
  </r>
  <r>
    <x v="178"/>
    <n v="3953"/>
    <n v="1776"/>
    <n v="15"/>
    <x v="0"/>
    <x v="0"/>
    <x v="0"/>
    <x v="246"/>
    <x v="258"/>
    <x v="1"/>
    <x v="1"/>
    <x v="54"/>
  </r>
  <r>
    <x v="178"/>
    <n v="3953"/>
    <n v="1776"/>
    <n v="15"/>
    <x v="0"/>
    <x v="0"/>
    <x v="0"/>
    <x v="247"/>
    <x v="259"/>
    <x v="4"/>
    <x v="15"/>
    <x v="39"/>
  </r>
  <r>
    <x v="178"/>
    <n v="3953"/>
    <n v="1776"/>
    <n v="15"/>
    <x v="0"/>
    <x v="0"/>
    <x v="0"/>
    <x v="248"/>
    <x v="260"/>
    <x v="0"/>
    <x v="0"/>
    <x v="16"/>
  </r>
  <r>
    <x v="179"/>
    <n v="6488"/>
    <n v="1591"/>
    <n v="18"/>
    <x v="0"/>
    <x v="1"/>
    <x v="2"/>
    <x v="249"/>
    <x v="261"/>
    <x v="4"/>
    <x v="8"/>
    <x v="23"/>
  </r>
  <r>
    <x v="179"/>
    <n v="6488"/>
    <n v="1591"/>
    <n v="18"/>
    <x v="0"/>
    <x v="1"/>
    <x v="2"/>
    <x v="250"/>
    <x v="262"/>
    <x v="4"/>
    <x v="15"/>
    <x v="11"/>
  </r>
  <r>
    <x v="180"/>
    <n v="7856"/>
    <n v="3699"/>
    <n v="17"/>
    <x v="0"/>
    <x v="0"/>
    <x v="0"/>
    <x v="118"/>
    <x v="263"/>
    <x v="0"/>
    <x v="3"/>
    <x v="34"/>
  </r>
  <r>
    <x v="180"/>
    <n v="1165"/>
    <n v="51"/>
    <n v="3"/>
    <x v="1"/>
    <x v="2"/>
    <x v="2"/>
    <x v="118"/>
    <x v="263"/>
    <x v="0"/>
    <x v="3"/>
    <x v="34"/>
  </r>
  <r>
    <x v="181"/>
    <n v="9386"/>
    <n v="2555"/>
    <n v="20"/>
    <x v="1"/>
    <x v="6"/>
    <x v="3"/>
    <x v="251"/>
    <x v="264"/>
    <x v="3"/>
    <x v="9"/>
    <x v="38"/>
  </r>
  <r>
    <x v="181"/>
    <n v="9386"/>
    <n v="2555"/>
    <n v="20"/>
    <x v="1"/>
    <x v="6"/>
    <x v="3"/>
    <x v="117"/>
    <x v="265"/>
    <x v="5"/>
    <x v="14"/>
    <x v="15"/>
  </r>
  <r>
    <x v="182"/>
    <n v="3956"/>
    <n v="142"/>
    <n v="12"/>
    <x v="1"/>
    <x v="2"/>
    <x v="1"/>
    <x v="100"/>
    <x v="266"/>
    <x v="0"/>
    <x v="16"/>
    <x v="48"/>
  </r>
  <r>
    <x v="182"/>
    <n v="3956"/>
    <n v="142"/>
    <n v="12"/>
    <x v="1"/>
    <x v="2"/>
    <x v="1"/>
    <x v="252"/>
    <x v="267"/>
    <x v="4"/>
    <x v="8"/>
    <x v="1"/>
  </r>
  <r>
    <x v="182"/>
    <n v="6449"/>
    <n v="2628"/>
    <n v="11"/>
    <x v="2"/>
    <x v="11"/>
    <x v="2"/>
    <x v="100"/>
    <x v="266"/>
    <x v="0"/>
    <x v="16"/>
    <x v="48"/>
  </r>
  <r>
    <x v="182"/>
    <n v="6449"/>
    <n v="2628"/>
    <n v="11"/>
    <x v="2"/>
    <x v="11"/>
    <x v="2"/>
    <x v="252"/>
    <x v="267"/>
    <x v="4"/>
    <x v="8"/>
    <x v="1"/>
  </r>
  <r>
    <x v="183"/>
    <n v="6255"/>
    <n v="437"/>
    <n v="18"/>
    <x v="1"/>
    <x v="6"/>
    <x v="4"/>
    <x v="253"/>
    <x v="268"/>
    <x v="2"/>
    <x v="7"/>
    <x v="13"/>
  </r>
  <r>
    <x v="183"/>
    <n v="2109"/>
    <n v="681"/>
    <n v="20"/>
    <x v="0"/>
    <x v="0"/>
    <x v="0"/>
    <x v="253"/>
    <x v="268"/>
    <x v="2"/>
    <x v="7"/>
    <x v="13"/>
  </r>
  <r>
    <x v="184"/>
    <n v="6707"/>
    <n v="1041"/>
    <n v="20"/>
    <x v="0"/>
    <x v="10"/>
    <x v="3"/>
    <x v="254"/>
    <x v="269"/>
    <x v="4"/>
    <x v="10"/>
    <x v="43"/>
  </r>
  <r>
    <x v="185"/>
    <n v="7633"/>
    <n v="184"/>
    <n v="13"/>
    <x v="1"/>
    <x v="2"/>
    <x v="4"/>
    <x v="255"/>
    <x v="270"/>
    <x v="1"/>
    <x v="6"/>
    <x v="43"/>
  </r>
  <r>
    <x v="186"/>
    <n v="975"/>
    <n v="224"/>
    <n v="18"/>
    <x v="1"/>
    <x v="2"/>
    <x v="4"/>
    <x v="256"/>
    <x v="271"/>
    <x v="3"/>
    <x v="9"/>
    <x v="13"/>
  </r>
  <r>
    <x v="186"/>
    <n v="4492"/>
    <n v="1450"/>
    <n v="7"/>
    <x v="2"/>
    <x v="4"/>
    <x v="2"/>
    <x v="256"/>
    <x v="271"/>
    <x v="3"/>
    <x v="9"/>
    <x v="13"/>
  </r>
  <r>
    <x v="186"/>
    <n v="7957"/>
    <n v="2834"/>
    <n v="12"/>
    <x v="2"/>
    <x v="5"/>
    <x v="0"/>
    <x v="256"/>
    <x v="271"/>
    <x v="3"/>
    <x v="9"/>
    <x v="13"/>
  </r>
  <r>
    <x v="187"/>
    <n v="4906"/>
    <n v="975"/>
    <n v="7"/>
    <x v="2"/>
    <x v="4"/>
    <x v="1"/>
    <x v="257"/>
    <x v="272"/>
    <x v="4"/>
    <x v="15"/>
    <x v="37"/>
  </r>
  <r>
    <x v="188"/>
    <n v="1379"/>
    <n v="250"/>
    <n v="3"/>
    <x v="1"/>
    <x v="2"/>
    <x v="3"/>
    <x v="258"/>
    <x v="273"/>
    <x v="2"/>
    <x v="2"/>
    <x v="20"/>
  </r>
  <r>
    <x v="188"/>
    <n v="4244"/>
    <n v="340"/>
    <n v="10"/>
    <x v="0"/>
    <x v="3"/>
    <x v="1"/>
    <x v="258"/>
    <x v="273"/>
    <x v="2"/>
    <x v="2"/>
    <x v="20"/>
  </r>
  <r>
    <x v="189"/>
    <n v="5911"/>
    <n v="2333"/>
    <n v="14"/>
    <x v="2"/>
    <x v="11"/>
    <x v="2"/>
    <x v="259"/>
    <x v="274"/>
    <x v="3"/>
    <x v="9"/>
    <x v="40"/>
  </r>
  <r>
    <x v="189"/>
    <n v="5911"/>
    <n v="2333"/>
    <n v="14"/>
    <x v="2"/>
    <x v="11"/>
    <x v="2"/>
    <x v="260"/>
    <x v="275"/>
    <x v="3"/>
    <x v="11"/>
    <x v="46"/>
  </r>
  <r>
    <x v="189"/>
    <n v="1818"/>
    <n v="738"/>
    <n v="11"/>
    <x v="1"/>
    <x v="6"/>
    <x v="2"/>
    <x v="259"/>
    <x v="274"/>
    <x v="3"/>
    <x v="9"/>
    <x v="40"/>
  </r>
  <r>
    <x v="189"/>
    <n v="1818"/>
    <n v="738"/>
    <n v="11"/>
    <x v="1"/>
    <x v="6"/>
    <x v="2"/>
    <x v="260"/>
    <x v="275"/>
    <x v="3"/>
    <x v="11"/>
    <x v="46"/>
  </r>
  <r>
    <x v="190"/>
    <n v="2140"/>
    <n v="970"/>
    <n v="4"/>
    <x v="1"/>
    <x v="8"/>
    <x v="3"/>
    <x v="224"/>
    <x v="276"/>
    <x v="3"/>
    <x v="9"/>
    <x v="57"/>
  </r>
  <r>
    <x v="190"/>
    <n v="2140"/>
    <n v="970"/>
    <n v="4"/>
    <x v="1"/>
    <x v="8"/>
    <x v="3"/>
    <x v="261"/>
    <x v="277"/>
    <x v="0"/>
    <x v="3"/>
    <x v="9"/>
  </r>
  <r>
    <x v="190"/>
    <n v="2140"/>
    <n v="970"/>
    <n v="4"/>
    <x v="1"/>
    <x v="8"/>
    <x v="3"/>
    <x v="105"/>
    <x v="278"/>
    <x v="3"/>
    <x v="11"/>
    <x v="25"/>
  </r>
  <r>
    <x v="190"/>
    <n v="2670"/>
    <n v="1026"/>
    <n v="1"/>
    <x v="0"/>
    <x v="3"/>
    <x v="1"/>
    <x v="224"/>
    <x v="276"/>
    <x v="3"/>
    <x v="9"/>
    <x v="57"/>
  </r>
  <r>
    <x v="190"/>
    <n v="2670"/>
    <n v="1026"/>
    <n v="1"/>
    <x v="0"/>
    <x v="3"/>
    <x v="1"/>
    <x v="261"/>
    <x v="277"/>
    <x v="0"/>
    <x v="3"/>
    <x v="9"/>
  </r>
  <r>
    <x v="190"/>
    <n v="2670"/>
    <n v="1026"/>
    <n v="1"/>
    <x v="0"/>
    <x v="3"/>
    <x v="1"/>
    <x v="105"/>
    <x v="278"/>
    <x v="3"/>
    <x v="11"/>
    <x v="25"/>
  </r>
  <r>
    <x v="191"/>
    <n v="1108"/>
    <n v="167"/>
    <n v="18"/>
    <x v="0"/>
    <x v="3"/>
    <x v="1"/>
    <x v="262"/>
    <x v="279"/>
    <x v="1"/>
    <x v="6"/>
    <x v="30"/>
  </r>
  <r>
    <x v="191"/>
    <n v="9776"/>
    <n v="3750"/>
    <n v="9"/>
    <x v="1"/>
    <x v="9"/>
    <x v="0"/>
    <x v="262"/>
    <x v="279"/>
    <x v="1"/>
    <x v="6"/>
    <x v="30"/>
  </r>
  <r>
    <x v="191"/>
    <n v="535"/>
    <n v="72"/>
    <n v="6"/>
    <x v="2"/>
    <x v="11"/>
    <x v="4"/>
    <x v="262"/>
    <x v="279"/>
    <x v="1"/>
    <x v="6"/>
    <x v="30"/>
  </r>
  <r>
    <x v="192"/>
    <n v="7564"/>
    <n v="3463"/>
    <n v="5"/>
    <x v="1"/>
    <x v="8"/>
    <x v="3"/>
    <x v="194"/>
    <x v="280"/>
    <x v="0"/>
    <x v="16"/>
    <x v="47"/>
  </r>
  <r>
    <x v="192"/>
    <n v="7564"/>
    <n v="3463"/>
    <n v="5"/>
    <x v="1"/>
    <x v="8"/>
    <x v="3"/>
    <x v="263"/>
    <x v="281"/>
    <x v="1"/>
    <x v="17"/>
    <x v="11"/>
  </r>
  <r>
    <x v="192"/>
    <n v="7564"/>
    <n v="3463"/>
    <n v="5"/>
    <x v="1"/>
    <x v="8"/>
    <x v="3"/>
    <x v="264"/>
    <x v="282"/>
    <x v="0"/>
    <x v="0"/>
    <x v="56"/>
  </r>
  <r>
    <x v="192"/>
    <n v="7564"/>
    <n v="3463"/>
    <n v="5"/>
    <x v="1"/>
    <x v="8"/>
    <x v="3"/>
    <x v="265"/>
    <x v="283"/>
    <x v="4"/>
    <x v="15"/>
    <x v="41"/>
  </r>
  <r>
    <x v="192"/>
    <n v="3409"/>
    <n v="1605"/>
    <n v="20"/>
    <x v="0"/>
    <x v="0"/>
    <x v="0"/>
    <x v="194"/>
    <x v="280"/>
    <x v="0"/>
    <x v="16"/>
    <x v="47"/>
  </r>
  <r>
    <x v="192"/>
    <n v="3409"/>
    <n v="1605"/>
    <n v="20"/>
    <x v="0"/>
    <x v="0"/>
    <x v="0"/>
    <x v="263"/>
    <x v="281"/>
    <x v="1"/>
    <x v="17"/>
    <x v="11"/>
  </r>
  <r>
    <x v="192"/>
    <n v="3409"/>
    <n v="1605"/>
    <n v="20"/>
    <x v="0"/>
    <x v="0"/>
    <x v="0"/>
    <x v="264"/>
    <x v="282"/>
    <x v="0"/>
    <x v="0"/>
    <x v="56"/>
  </r>
  <r>
    <x v="192"/>
    <n v="3409"/>
    <n v="1605"/>
    <n v="20"/>
    <x v="0"/>
    <x v="0"/>
    <x v="0"/>
    <x v="265"/>
    <x v="283"/>
    <x v="4"/>
    <x v="15"/>
    <x v="41"/>
  </r>
  <r>
    <x v="193"/>
    <n v="9751"/>
    <n v="2459"/>
    <n v="13"/>
    <x v="1"/>
    <x v="2"/>
    <x v="4"/>
    <x v="266"/>
    <x v="284"/>
    <x v="2"/>
    <x v="2"/>
    <x v="11"/>
  </r>
  <r>
    <x v="194"/>
    <n v="6385"/>
    <n v="2656"/>
    <n v="11"/>
    <x v="0"/>
    <x v="1"/>
    <x v="3"/>
    <x v="267"/>
    <x v="285"/>
    <x v="0"/>
    <x v="3"/>
    <x v="45"/>
  </r>
  <r>
    <x v="194"/>
    <n v="6385"/>
    <n v="2656"/>
    <n v="11"/>
    <x v="0"/>
    <x v="1"/>
    <x v="3"/>
    <x v="268"/>
    <x v="286"/>
    <x v="0"/>
    <x v="16"/>
    <x v="15"/>
  </r>
  <r>
    <x v="195"/>
    <n v="6355"/>
    <n v="1335"/>
    <n v="15"/>
    <x v="0"/>
    <x v="0"/>
    <x v="1"/>
    <x v="269"/>
    <x v="287"/>
    <x v="4"/>
    <x v="10"/>
    <x v="21"/>
  </r>
  <r>
    <x v="195"/>
    <n v="6355"/>
    <n v="1335"/>
    <n v="15"/>
    <x v="0"/>
    <x v="0"/>
    <x v="1"/>
    <x v="270"/>
    <x v="288"/>
    <x v="4"/>
    <x v="10"/>
    <x v="22"/>
  </r>
  <r>
    <x v="196"/>
    <n v="7377"/>
    <n v="320"/>
    <n v="15"/>
    <x v="0"/>
    <x v="1"/>
    <x v="1"/>
    <x v="271"/>
    <x v="289"/>
    <x v="4"/>
    <x v="10"/>
    <x v="29"/>
  </r>
  <r>
    <x v="196"/>
    <n v="2054"/>
    <n v="371"/>
    <n v="12"/>
    <x v="1"/>
    <x v="6"/>
    <x v="2"/>
    <x v="271"/>
    <x v="289"/>
    <x v="4"/>
    <x v="10"/>
    <x v="29"/>
  </r>
  <r>
    <x v="197"/>
    <n v="7497"/>
    <n v="319"/>
    <n v="18"/>
    <x v="2"/>
    <x v="5"/>
    <x v="4"/>
    <x v="272"/>
    <x v="290"/>
    <x v="1"/>
    <x v="17"/>
    <x v="42"/>
  </r>
  <r>
    <x v="198"/>
    <n v="2565"/>
    <n v="983"/>
    <n v="20"/>
    <x v="0"/>
    <x v="0"/>
    <x v="1"/>
    <x v="61"/>
    <x v="291"/>
    <x v="0"/>
    <x v="0"/>
    <x v="29"/>
  </r>
  <r>
    <x v="198"/>
    <n v="5024"/>
    <n v="1544"/>
    <n v="19"/>
    <x v="1"/>
    <x v="2"/>
    <x v="4"/>
    <x v="61"/>
    <x v="291"/>
    <x v="0"/>
    <x v="0"/>
    <x v="29"/>
  </r>
  <r>
    <x v="199"/>
    <n v="8243"/>
    <n v="1346"/>
    <n v="15"/>
    <x v="1"/>
    <x v="9"/>
    <x v="1"/>
    <x v="273"/>
    <x v="292"/>
    <x v="4"/>
    <x v="15"/>
    <x v="27"/>
  </r>
  <r>
    <x v="200"/>
    <n v="7792"/>
    <n v="1403"/>
    <n v="13"/>
    <x v="1"/>
    <x v="8"/>
    <x v="0"/>
    <x v="274"/>
    <x v="293"/>
    <x v="1"/>
    <x v="17"/>
    <x v="51"/>
  </r>
  <r>
    <x v="200"/>
    <n v="7792"/>
    <n v="1403"/>
    <n v="13"/>
    <x v="1"/>
    <x v="8"/>
    <x v="0"/>
    <x v="243"/>
    <x v="294"/>
    <x v="2"/>
    <x v="7"/>
    <x v="29"/>
  </r>
  <r>
    <x v="200"/>
    <n v="7792"/>
    <n v="1403"/>
    <n v="13"/>
    <x v="1"/>
    <x v="8"/>
    <x v="0"/>
    <x v="275"/>
    <x v="295"/>
    <x v="3"/>
    <x v="9"/>
    <x v="10"/>
  </r>
  <r>
    <x v="200"/>
    <n v="2346"/>
    <n v="388"/>
    <n v="14"/>
    <x v="2"/>
    <x v="5"/>
    <x v="1"/>
    <x v="274"/>
    <x v="293"/>
    <x v="1"/>
    <x v="17"/>
    <x v="51"/>
  </r>
  <r>
    <x v="200"/>
    <n v="2346"/>
    <n v="388"/>
    <n v="14"/>
    <x v="2"/>
    <x v="5"/>
    <x v="1"/>
    <x v="243"/>
    <x v="294"/>
    <x v="2"/>
    <x v="7"/>
    <x v="29"/>
  </r>
  <r>
    <x v="200"/>
    <n v="2346"/>
    <n v="388"/>
    <n v="14"/>
    <x v="2"/>
    <x v="5"/>
    <x v="1"/>
    <x v="275"/>
    <x v="295"/>
    <x v="3"/>
    <x v="9"/>
    <x v="10"/>
  </r>
  <r>
    <x v="201"/>
    <n v="7346"/>
    <n v="1043"/>
    <n v="10"/>
    <x v="2"/>
    <x v="7"/>
    <x v="3"/>
    <x v="276"/>
    <x v="296"/>
    <x v="5"/>
    <x v="12"/>
    <x v="29"/>
  </r>
  <r>
    <x v="201"/>
    <n v="9770"/>
    <n v="4132"/>
    <n v="7"/>
    <x v="0"/>
    <x v="0"/>
    <x v="0"/>
    <x v="276"/>
    <x v="296"/>
    <x v="5"/>
    <x v="12"/>
    <x v="29"/>
  </r>
  <r>
    <x v="201"/>
    <n v="7179"/>
    <n v="683"/>
    <n v="13"/>
    <x v="0"/>
    <x v="3"/>
    <x v="3"/>
    <x v="276"/>
    <x v="296"/>
    <x v="5"/>
    <x v="12"/>
    <x v="29"/>
  </r>
  <r>
    <x v="202"/>
    <n v="5449"/>
    <n v="2389"/>
    <n v="2"/>
    <x v="0"/>
    <x v="10"/>
    <x v="0"/>
    <x v="277"/>
    <x v="297"/>
    <x v="0"/>
    <x v="0"/>
    <x v="15"/>
  </r>
  <r>
    <x v="203"/>
    <n v="2895"/>
    <n v="104"/>
    <n v="6"/>
    <x v="2"/>
    <x v="5"/>
    <x v="4"/>
    <x v="278"/>
    <x v="298"/>
    <x v="2"/>
    <x v="2"/>
    <x v="32"/>
  </r>
  <r>
    <x v="203"/>
    <n v="2895"/>
    <n v="104"/>
    <n v="6"/>
    <x v="2"/>
    <x v="5"/>
    <x v="4"/>
    <x v="279"/>
    <x v="299"/>
    <x v="4"/>
    <x v="15"/>
    <x v="3"/>
  </r>
  <r>
    <x v="203"/>
    <n v="697"/>
    <n v="116"/>
    <n v="1"/>
    <x v="2"/>
    <x v="5"/>
    <x v="0"/>
    <x v="278"/>
    <x v="298"/>
    <x v="2"/>
    <x v="2"/>
    <x v="32"/>
  </r>
  <r>
    <x v="203"/>
    <n v="697"/>
    <n v="116"/>
    <n v="1"/>
    <x v="2"/>
    <x v="5"/>
    <x v="0"/>
    <x v="279"/>
    <x v="299"/>
    <x v="4"/>
    <x v="15"/>
    <x v="3"/>
  </r>
  <r>
    <x v="204"/>
    <n v="6145"/>
    <n v="1414"/>
    <n v="4"/>
    <x v="2"/>
    <x v="5"/>
    <x v="4"/>
    <x v="280"/>
    <x v="300"/>
    <x v="3"/>
    <x v="4"/>
    <x v="20"/>
  </r>
  <r>
    <x v="204"/>
    <n v="2504"/>
    <n v="440"/>
    <n v="18"/>
    <x v="0"/>
    <x v="1"/>
    <x v="0"/>
    <x v="280"/>
    <x v="300"/>
    <x v="3"/>
    <x v="4"/>
    <x v="20"/>
  </r>
  <r>
    <x v="204"/>
    <n v="3124"/>
    <n v="138"/>
    <n v="16"/>
    <x v="0"/>
    <x v="10"/>
    <x v="1"/>
    <x v="280"/>
    <x v="300"/>
    <x v="3"/>
    <x v="4"/>
    <x v="20"/>
  </r>
  <r>
    <x v="205"/>
    <n v="6934"/>
    <n v="1226"/>
    <n v="1"/>
    <x v="0"/>
    <x v="0"/>
    <x v="1"/>
    <x v="281"/>
    <x v="301"/>
    <x v="5"/>
    <x v="13"/>
    <x v="22"/>
  </r>
  <r>
    <x v="205"/>
    <n v="6934"/>
    <n v="1226"/>
    <n v="1"/>
    <x v="0"/>
    <x v="0"/>
    <x v="1"/>
    <x v="76"/>
    <x v="284"/>
    <x v="2"/>
    <x v="7"/>
    <x v="43"/>
  </r>
  <r>
    <x v="206"/>
    <n v="4202"/>
    <n v="1171"/>
    <n v="3"/>
    <x v="1"/>
    <x v="6"/>
    <x v="4"/>
    <x v="282"/>
    <x v="302"/>
    <x v="1"/>
    <x v="17"/>
    <x v="5"/>
  </r>
  <r>
    <x v="206"/>
    <n v="4202"/>
    <n v="1171"/>
    <n v="3"/>
    <x v="1"/>
    <x v="6"/>
    <x v="4"/>
    <x v="283"/>
    <x v="303"/>
    <x v="2"/>
    <x v="7"/>
    <x v="15"/>
  </r>
  <r>
    <x v="206"/>
    <n v="4202"/>
    <n v="1171"/>
    <n v="3"/>
    <x v="1"/>
    <x v="6"/>
    <x v="4"/>
    <x v="284"/>
    <x v="304"/>
    <x v="0"/>
    <x v="16"/>
    <x v="6"/>
  </r>
  <r>
    <x v="206"/>
    <n v="4202"/>
    <n v="1171"/>
    <n v="3"/>
    <x v="1"/>
    <x v="6"/>
    <x v="4"/>
    <x v="6"/>
    <x v="305"/>
    <x v="4"/>
    <x v="15"/>
    <x v="6"/>
  </r>
  <r>
    <x v="207"/>
    <n v="2239"/>
    <n v="828"/>
    <n v="1"/>
    <x v="0"/>
    <x v="1"/>
    <x v="0"/>
    <x v="285"/>
    <x v="306"/>
    <x v="3"/>
    <x v="4"/>
    <x v="0"/>
  </r>
  <r>
    <x v="207"/>
    <n v="2239"/>
    <n v="828"/>
    <n v="1"/>
    <x v="0"/>
    <x v="1"/>
    <x v="0"/>
    <x v="286"/>
    <x v="307"/>
    <x v="1"/>
    <x v="1"/>
    <x v="48"/>
  </r>
  <r>
    <x v="207"/>
    <n v="2450"/>
    <n v="1002"/>
    <n v="4"/>
    <x v="0"/>
    <x v="10"/>
    <x v="1"/>
    <x v="285"/>
    <x v="306"/>
    <x v="3"/>
    <x v="4"/>
    <x v="0"/>
  </r>
  <r>
    <x v="207"/>
    <n v="2450"/>
    <n v="1002"/>
    <n v="4"/>
    <x v="0"/>
    <x v="10"/>
    <x v="1"/>
    <x v="286"/>
    <x v="307"/>
    <x v="1"/>
    <x v="1"/>
    <x v="48"/>
  </r>
  <r>
    <x v="208"/>
    <n v="9827"/>
    <n v="4208"/>
    <n v="13"/>
    <x v="2"/>
    <x v="5"/>
    <x v="1"/>
    <x v="287"/>
    <x v="308"/>
    <x v="2"/>
    <x v="5"/>
    <x v="57"/>
  </r>
  <r>
    <x v="208"/>
    <n v="8077"/>
    <n v="240"/>
    <n v="15"/>
    <x v="2"/>
    <x v="7"/>
    <x v="3"/>
    <x v="287"/>
    <x v="308"/>
    <x v="2"/>
    <x v="5"/>
    <x v="57"/>
  </r>
  <r>
    <x v="209"/>
    <n v="5152"/>
    <n v="2045"/>
    <n v="14"/>
    <x v="0"/>
    <x v="10"/>
    <x v="0"/>
    <x v="288"/>
    <x v="309"/>
    <x v="1"/>
    <x v="6"/>
    <x v="11"/>
  </r>
  <r>
    <x v="209"/>
    <n v="5152"/>
    <n v="2045"/>
    <n v="14"/>
    <x v="0"/>
    <x v="10"/>
    <x v="0"/>
    <x v="289"/>
    <x v="310"/>
    <x v="3"/>
    <x v="4"/>
    <x v="40"/>
  </r>
  <r>
    <x v="209"/>
    <n v="5152"/>
    <n v="2045"/>
    <n v="14"/>
    <x v="0"/>
    <x v="10"/>
    <x v="0"/>
    <x v="290"/>
    <x v="311"/>
    <x v="1"/>
    <x v="1"/>
    <x v="21"/>
  </r>
  <r>
    <x v="209"/>
    <n v="5152"/>
    <n v="2045"/>
    <n v="14"/>
    <x v="0"/>
    <x v="10"/>
    <x v="0"/>
    <x v="291"/>
    <x v="312"/>
    <x v="2"/>
    <x v="7"/>
    <x v="59"/>
  </r>
  <r>
    <x v="210"/>
    <n v="2542"/>
    <n v="190"/>
    <n v="1"/>
    <x v="1"/>
    <x v="6"/>
    <x v="3"/>
    <x v="292"/>
    <x v="313"/>
    <x v="4"/>
    <x v="15"/>
    <x v="39"/>
  </r>
  <r>
    <x v="211"/>
    <n v="8102"/>
    <n v="1800"/>
    <n v="5"/>
    <x v="1"/>
    <x v="6"/>
    <x v="0"/>
    <x v="293"/>
    <x v="314"/>
    <x v="3"/>
    <x v="11"/>
    <x v="48"/>
  </r>
  <r>
    <x v="211"/>
    <n v="8102"/>
    <n v="1800"/>
    <n v="5"/>
    <x v="1"/>
    <x v="6"/>
    <x v="0"/>
    <x v="294"/>
    <x v="315"/>
    <x v="2"/>
    <x v="2"/>
    <x v="32"/>
  </r>
  <r>
    <x v="211"/>
    <n v="8102"/>
    <n v="1800"/>
    <n v="5"/>
    <x v="1"/>
    <x v="6"/>
    <x v="0"/>
    <x v="295"/>
    <x v="316"/>
    <x v="5"/>
    <x v="14"/>
    <x v="50"/>
  </r>
  <r>
    <x v="211"/>
    <n v="3234"/>
    <n v="1274"/>
    <n v="10"/>
    <x v="2"/>
    <x v="4"/>
    <x v="2"/>
    <x v="293"/>
    <x v="314"/>
    <x v="3"/>
    <x v="11"/>
    <x v="48"/>
  </r>
  <r>
    <x v="211"/>
    <n v="3234"/>
    <n v="1274"/>
    <n v="10"/>
    <x v="2"/>
    <x v="4"/>
    <x v="2"/>
    <x v="294"/>
    <x v="315"/>
    <x v="2"/>
    <x v="2"/>
    <x v="32"/>
  </r>
  <r>
    <x v="211"/>
    <n v="3234"/>
    <n v="1274"/>
    <n v="10"/>
    <x v="2"/>
    <x v="4"/>
    <x v="2"/>
    <x v="295"/>
    <x v="316"/>
    <x v="5"/>
    <x v="14"/>
    <x v="50"/>
  </r>
  <r>
    <x v="212"/>
    <n v="6200"/>
    <n v="2321"/>
    <n v="18"/>
    <x v="2"/>
    <x v="4"/>
    <x v="3"/>
    <x v="296"/>
    <x v="317"/>
    <x v="3"/>
    <x v="4"/>
    <x v="41"/>
  </r>
  <r>
    <x v="212"/>
    <n v="6200"/>
    <n v="2321"/>
    <n v="18"/>
    <x v="2"/>
    <x v="4"/>
    <x v="3"/>
    <x v="297"/>
    <x v="318"/>
    <x v="0"/>
    <x v="0"/>
    <x v="31"/>
  </r>
  <r>
    <x v="213"/>
    <n v="4470"/>
    <n v="413"/>
    <n v="13"/>
    <x v="0"/>
    <x v="3"/>
    <x v="0"/>
    <x v="170"/>
    <x v="319"/>
    <x v="3"/>
    <x v="4"/>
    <x v="9"/>
  </r>
  <r>
    <x v="214"/>
    <n v="916"/>
    <n v="362"/>
    <n v="7"/>
    <x v="1"/>
    <x v="2"/>
    <x v="0"/>
    <x v="298"/>
    <x v="320"/>
    <x v="1"/>
    <x v="6"/>
    <x v="15"/>
  </r>
  <r>
    <x v="214"/>
    <n v="916"/>
    <n v="362"/>
    <n v="7"/>
    <x v="1"/>
    <x v="2"/>
    <x v="0"/>
    <x v="299"/>
    <x v="321"/>
    <x v="3"/>
    <x v="11"/>
    <x v="20"/>
  </r>
  <r>
    <x v="214"/>
    <n v="1165"/>
    <n v="302"/>
    <n v="20"/>
    <x v="2"/>
    <x v="7"/>
    <x v="0"/>
    <x v="298"/>
    <x v="320"/>
    <x v="1"/>
    <x v="6"/>
    <x v="15"/>
  </r>
  <r>
    <x v="214"/>
    <n v="1165"/>
    <n v="302"/>
    <n v="20"/>
    <x v="2"/>
    <x v="7"/>
    <x v="0"/>
    <x v="299"/>
    <x v="321"/>
    <x v="3"/>
    <x v="11"/>
    <x v="20"/>
  </r>
  <r>
    <x v="214"/>
    <n v="7846"/>
    <n v="677"/>
    <n v="12"/>
    <x v="2"/>
    <x v="5"/>
    <x v="0"/>
    <x v="298"/>
    <x v="320"/>
    <x v="1"/>
    <x v="6"/>
    <x v="15"/>
  </r>
  <r>
    <x v="214"/>
    <n v="7846"/>
    <n v="677"/>
    <n v="12"/>
    <x v="2"/>
    <x v="5"/>
    <x v="0"/>
    <x v="299"/>
    <x v="321"/>
    <x v="3"/>
    <x v="11"/>
    <x v="20"/>
  </r>
  <r>
    <x v="215"/>
    <n v="3022"/>
    <n v="384"/>
    <n v="1"/>
    <x v="1"/>
    <x v="2"/>
    <x v="3"/>
    <x v="300"/>
    <x v="322"/>
    <x v="4"/>
    <x v="10"/>
    <x v="12"/>
  </r>
  <r>
    <x v="215"/>
    <n v="3022"/>
    <n v="384"/>
    <n v="1"/>
    <x v="1"/>
    <x v="2"/>
    <x v="3"/>
    <x v="301"/>
    <x v="323"/>
    <x v="1"/>
    <x v="1"/>
    <x v="51"/>
  </r>
  <r>
    <x v="215"/>
    <n v="5266"/>
    <n v="1111"/>
    <n v="13"/>
    <x v="0"/>
    <x v="0"/>
    <x v="1"/>
    <x v="300"/>
    <x v="322"/>
    <x v="4"/>
    <x v="10"/>
    <x v="12"/>
  </r>
  <r>
    <x v="215"/>
    <n v="5266"/>
    <n v="1111"/>
    <n v="13"/>
    <x v="0"/>
    <x v="0"/>
    <x v="1"/>
    <x v="301"/>
    <x v="323"/>
    <x v="1"/>
    <x v="1"/>
    <x v="51"/>
  </r>
  <r>
    <x v="216"/>
    <n v="4853"/>
    <n v="1764"/>
    <n v="9"/>
    <x v="1"/>
    <x v="2"/>
    <x v="1"/>
    <x v="302"/>
    <x v="324"/>
    <x v="0"/>
    <x v="3"/>
    <x v="35"/>
  </r>
  <r>
    <x v="216"/>
    <n v="4853"/>
    <n v="1764"/>
    <n v="9"/>
    <x v="1"/>
    <x v="2"/>
    <x v="1"/>
    <x v="303"/>
    <x v="325"/>
    <x v="4"/>
    <x v="15"/>
    <x v="40"/>
  </r>
  <r>
    <x v="217"/>
    <n v="9832"/>
    <n v="1270"/>
    <n v="1"/>
    <x v="1"/>
    <x v="2"/>
    <x v="4"/>
    <x v="23"/>
    <x v="326"/>
    <x v="3"/>
    <x v="11"/>
    <x v="15"/>
  </r>
  <r>
    <x v="217"/>
    <n v="796"/>
    <n v="153"/>
    <n v="15"/>
    <x v="1"/>
    <x v="2"/>
    <x v="3"/>
    <x v="23"/>
    <x v="326"/>
    <x v="3"/>
    <x v="11"/>
    <x v="15"/>
  </r>
  <r>
    <x v="218"/>
    <n v="883"/>
    <n v="127"/>
    <n v="7"/>
    <x v="2"/>
    <x v="5"/>
    <x v="4"/>
    <x v="304"/>
    <x v="327"/>
    <x v="3"/>
    <x v="11"/>
    <x v="0"/>
  </r>
  <r>
    <x v="218"/>
    <n v="4539"/>
    <n v="1155"/>
    <n v="8"/>
    <x v="2"/>
    <x v="11"/>
    <x v="1"/>
    <x v="304"/>
    <x v="327"/>
    <x v="3"/>
    <x v="11"/>
    <x v="0"/>
  </r>
  <r>
    <x v="218"/>
    <n v="9659"/>
    <n v="2226"/>
    <n v="16"/>
    <x v="1"/>
    <x v="9"/>
    <x v="1"/>
    <x v="304"/>
    <x v="327"/>
    <x v="3"/>
    <x v="11"/>
    <x v="0"/>
  </r>
  <r>
    <x v="219"/>
    <n v="9562"/>
    <n v="325"/>
    <n v="2"/>
    <x v="0"/>
    <x v="1"/>
    <x v="1"/>
    <x v="305"/>
    <x v="328"/>
    <x v="3"/>
    <x v="9"/>
    <x v="37"/>
  </r>
  <r>
    <x v="220"/>
    <n v="4688"/>
    <n v="1841"/>
    <n v="3"/>
    <x v="0"/>
    <x v="3"/>
    <x v="3"/>
    <x v="306"/>
    <x v="329"/>
    <x v="3"/>
    <x v="11"/>
    <x v="54"/>
  </r>
  <r>
    <x v="220"/>
    <n v="4688"/>
    <n v="1841"/>
    <n v="3"/>
    <x v="0"/>
    <x v="3"/>
    <x v="3"/>
    <x v="2"/>
    <x v="330"/>
    <x v="3"/>
    <x v="9"/>
    <x v="2"/>
  </r>
  <r>
    <x v="221"/>
    <n v="7900"/>
    <n v="482"/>
    <n v="4"/>
    <x v="0"/>
    <x v="10"/>
    <x v="4"/>
    <x v="307"/>
    <x v="331"/>
    <x v="5"/>
    <x v="12"/>
    <x v="30"/>
  </r>
  <r>
    <x v="222"/>
    <n v="6967"/>
    <n v="3257"/>
    <n v="17"/>
    <x v="2"/>
    <x v="11"/>
    <x v="4"/>
    <x v="276"/>
    <x v="332"/>
    <x v="5"/>
    <x v="13"/>
    <x v="29"/>
  </r>
  <r>
    <x v="222"/>
    <n v="1091"/>
    <n v="277"/>
    <n v="6"/>
    <x v="1"/>
    <x v="8"/>
    <x v="4"/>
    <x v="276"/>
    <x v="332"/>
    <x v="5"/>
    <x v="13"/>
    <x v="29"/>
  </r>
  <r>
    <x v="222"/>
    <n v="6027"/>
    <n v="1530"/>
    <n v="2"/>
    <x v="1"/>
    <x v="9"/>
    <x v="3"/>
    <x v="276"/>
    <x v="332"/>
    <x v="5"/>
    <x v="13"/>
    <x v="29"/>
  </r>
  <r>
    <x v="223"/>
    <n v="4852"/>
    <n v="218"/>
    <n v="2"/>
    <x v="2"/>
    <x v="4"/>
    <x v="2"/>
    <x v="308"/>
    <x v="333"/>
    <x v="4"/>
    <x v="8"/>
    <x v="44"/>
  </r>
  <r>
    <x v="223"/>
    <n v="4852"/>
    <n v="218"/>
    <n v="2"/>
    <x v="2"/>
    <x v="4"/>
    <x v="2"/>
    <x v="309"/>
    <x v="334"/>
    <x v="0"/>
    <x v="16"/>
    <x v="13"/>
  </r>
  <r>
    <x v="223"/>
    <n v="4852"/>
    <n v="218"/>
    <n v="2"/>
    <x v="2"/>
    <x v="4"/>
    <x v="2"/>
    <x v="310"/>
    <x v="335"/>
    <x v="1"/>
    <x v="6"/>
    <x v="48"/>
  </r>
  <r>
    <x v="224"/>
    <n v="4314"/>
    <n v="1453"/>
    <n v="6"/>
    <x v="2"/>
    <x v="7"/>
    <x v="4"/>
    <x v="311"/>
    <x v="336"/>
    <x v="0"/>
    <x v="16"/>
    <x v="36"/>
  </r>
  <r>
    <x v="225"/>
    <n v="3288"/>
    <n v="1477"/>
    <n v="3"/>
    <x v="1"/>
    <x v="2"/>
    <x v="2"/>
    <x v="312"/>
    <x v="337"/>
    <x v="4"/>
    <x v="10"/>
    <x v="3"/>
  </r>
  <r>
    <x v="225"/>
    <n v="3288"/>
    <n v="1477"/>
    <n v="3"/>
    <x v="1"/>
    <x v="2"/>
    <x v="2"/>
    <x v="313"/>
    <x v="338"/>
    <x v="1"/>
    <x v="6"/>
    <x v="26"/>
  </r>
  <r>
    <x v="226"/>
    <n v="3977"/>
    <n v="813"/>
    <n v="5"/>
    <x v="1"/>
    <x v="9"/>
    <x v="3"/>
    <x v="314"/>
    <x v="339"/>
    <x v="2"/>
    <x v="5"/>
    <x v="1"/>
  </r>
  <r>
    <x v="227"/>
    <n v="6252"/>
    <n v="1377"/>
    <n v="2"/>
    <x v="0"/>
    <x v="1"/>
    <x v="2"/>
    <x v="315"/>
    <x v="340"/>
    <x v="1"/>
    <x v="1"/>
    <x v="0"/>
  </r>
  <r>
    <x v="228"/>
    <n v="9084"/>
    <n v="3253"/>
    <n v="12"/>
    <x v="1"/>
    <x v="2"/>
    <x v="1"/>
    <x v="316"/>
    <x v="341"/>
    <x v="2"/>
    <x v="2"/>
    <x v="6"/>
  </r>
  <r>
    <x v="229"/>
    <n v="8994"/>
    <n v="1481"/>
    <n v="15"/>
    <x v="0"/>
    <x v="10"/>
    <x v="3"/>
    <x v="317"/>
    <x v="342"/>
    <x v="3"/>
    <x v="9"/>
    <x v="53"/>
  </r>
  <r>
    <x v="230"/>
    <n v="1089"/>
    <n v="176"/>
    <n v="16"/>
    <x v="1"/>
    <x v="6"/>
    <x v="2"/>
    <x v="318"/>
    <x v="343"/>
    <x v="4"/>
    <x v="8"/>
    <x v="20"/>
  </r>
  <r>
    <x v="231"/>
    <n v="6690"/>
    <n v="1001"/>
    <n v="19"/>
    <x v="1"/>
    <x v="9"/>
    <x v="0"/>
    <x v="319"/>
    <x v="344"/>
    <x v="1"/>
    <x v="6"/>
    <x v="33"/>
  </r>
  <r>
    <x v="231"/>
    <n v="6690"/>
    <n v="1001"/>
    <n v="19"/>
    <x v="1"/>
    <x v="9"/>
    <x v="0"/>
    <x v="202"/>
    <x v="345"/>
    <x v="1"/>
    <x v="1"/>
    <x v="35"/>
  </r>
  <r>
    <x v="231"/>
    <n v="4985"/>
    <n v="1920"/>
    <n v="10"/>
    <x v="2"/>
    <x v="11"/>
    <x v="3"/>
    <x v="319"/>
    <x v="344"/>
    <x v="1"/>
    <x v="6"/>
    <x v="33"/>
  </r>
  <r>
    <x v="231"/>
    <n v="4985"/>
    <n v="1920"/>
    <n v="10"/>
    <x v="2"/>
    <x v="11"/>
    <x v="3"/>
    <x v="202"/>
    <x v="345"/>
    <x v="1"/>
    <x v="1"/>
    <x v="35"/>
  </r>
  <r>
    <x v="232"/>
    <n v="8590"/>
    <n v="3565"/>
    <n v="15"/>
    <x v="0"/>
    <x v="0"/>
    <x v="2"/>
    <x v="320"/>
    <x v="346"/>
    <x v="0"/>
    <x v="0"/>
    <x v="35"/>
  </r>
  <r>
    <x v="232"/>
    <n v="6973"/>
    <n v="3038"/>
    <n v="10"/>
    <x v="2"/>
    <x v="4"/>
    <x v="4"/>
    <x v="320"/>
    <x v="346"/>
    <x v="0"/>
    <x v="0"/>
    <x v="35"/>
  </r>
  <r>
    <x v="233"/>
    <n v="4591"/>
    <n v="1941"/>
    <n v="19"/>
    <x v="0"/>
    <x v="1"/>
    <x v="2"/>
    <x v="321"/>
    <x v="214"/>
    <x v="4"/>
    <x v="8"/>
    <x v="2"/>
  </r>
  <r>
    <x v="233"/>
    <n v="9612"/>
    <n v="2572"/>
    <n v="17"/>
    <x v="1"/>
    <x v="2"/>
    <x v="3"/>
    <x v="321"/>
    <x v="214"/>
    <x v="4"/>
    <x v="8"/>
    <x v="2"/>
  </r>
  <r>
    <x v="234"/>
    <n v="5343"/>
    <n v="655"/>
    <n v="1"/>
    <x v="2"/>
    <x v="5"/>
    <x v="2"/>
    <x v="322"/>
    <x v="347"/>
    <x v="3"/>
    <x v="9"/>
    <x v="44"/>
  </r>
  <r>
    <x v="235"/>
    <n v="6956"/>
    <n v="318"/>
    <n v="20"/>
    <x v="1"/>
    <x v="6"/>
    <x v="1"/>
    <x v="55"/>
    <x v="348"/>
    <x v="1"/>
    <x v="6"/>
    <x v="39"/>
  </r>
  <r>
    <x v="236"/>
    <n v="5306"/>
    <n v="2405"/>
    <n v="17"/>
    <x v="2"/>
    <x v="4"/>
    <x v="2"/>
    <x v="323"/>
    <x v="349"/>
    <x v="2"/>
    <x v="2"/>
    <x v="55"/>
  </r>
  <r>
    <x v="237"/>
    <n v="8982"/>
    <n v="448"/>
    <n v="17"/>
    <x v="2"/>
    <x v="7"/>
    <x v="0"/>
    <x v="324"/>
    <x v="350"/>
    <x v="2"/>
    <x v="5"/>
    <x v="18"/>
  </r>
  <r>
    <x v="237"/>
    <n v="4826"/>
    <n v="562"/>
    <n v="5"/>
    <x v="1"/>
    <x v="8"/>
    <x v="1"/>
    <x v="324"/>
    <x v="350"/>
    <x v="2"/>
    <x v="5"/>
    <x v="18"/>
  </r>
  <r>
    <x v="238"/>
    <n v="972"/>
    <n v="106"/>
    <n v="15"/>
    <x v="1"/>
    <x v="2"/>
    <x v="2"/>
    <x v="112"/>
    <x v="351"/>
    <x v="5"/>
    <x v="13"/>
    <x v="37"/>
  </r>
  <r>
    <x v="239"/>
    <n v="3665"/>
    <n v="802"/>
    <n v="4"/>
    <x v="1"/>
    <x v="6"/>
    <x v="3"/>
    <x v="325"/>
    <x v="352"/>
    <x v="0"/>
    <x v="0"/>
    <x v="36"/>
  </r>
  <r>
    <x v="239"/>
    <n v="3665"/>
    <n v="802"/>
    <n v="4"/>
    <x v="1"/>
    <x v="6"/>
    <x v="3"/>
    <x v="326"/>
    <x v="353"/>
    <x v="0"/>
    <x v="16"/>
    <x v="9"/>
  </r>
  <r>
    <x v="240"/>
    <n v="9808"/>
    <n v="2117"/>
    <n v="2"/>
    <x v="1"/>
    <x v="2"/>
    <x v="0"/>
    <x v="327"/>
    <x v="354"/>
    <x v="3"/>
    <x v="4"/>
    <x v="44"/>
  </r>
  <r>
    <x v="241"/>
    <n v="1133"/>
    <n v="73"/>
    <n v="17"/>
    <x v="2"/>
    <x v="5"/>
    <x v="0"/>
    <x v="328"/>
    <x v="355"/>
    <x v="5"/>
    <x v="14"/>
    <x v="14"/>
  </r>
  <r>
    <x v="241"/>
    <n v="1133"/>
    <n v="73"/>
    <n v="17"/>
    <x v="2"/>
    <x v="5"/>
    <x v="0"/>
    <x v="329"/>
    <x v="356"/>
    <x v="3"/>
    <x v="9"/>
    <x v="47"/>
  </r>
  <r>
    <x v="241"/>
    <n v="6248"/>
    <n v="1168"/>
    <n v="19"/>
    <x v="2"/>
    <x v="11"/>
    <x v="4"/>
    <x v="328"/>
    <x v="355"/>
    <x v="5"/>
    <x v="14"/>
    <x v="14"/>
  </r>
  <r>
    <x v="241"/>
    <n v="6248"/>
    <n v="1168"/>
    <n v="19"/>
    <x v="2"/>
    <x v="11"/>
    <x v="4"/>
    <x v="329"/>
    <x v="356"/>
    <x v="3"/>
    <x v="9"/>
    <x v="47"/>
  </r>
  <r>
    <x v="242"/>
    <n v="5666"/>
    <n v="2733"/>
    <n v="17"/>
    <x v="0"/>
    <x v="0"/>
    <x v="3"/>
    <x v="330"/>
    <x v="357"/>
    <x v="0"/>
    <x v="16"/>
    <x v="52"/>
  </r>
  <r>
    <x v="243"/>
    <n v="4171"/>
    <n v="1450"/>
    <n v="18"/>
    <x v="1"/>
    <x v="6"/>
    <x v="4"/>
    <x v="331"/>
    <x v="358"/>
    <x v="4"/>
    <x v="8"/>
    <x v="28"/>
  </r>
  <r>
    <x v="244"/>
    <n v="6236"/>
    <n v="2839"/>
    <n v="7"/>
    <x v="0"/>
    <x v="1"/>
    <x v="3"/>
    <x v="332"/>
    <x v="359"/>
    <x v="1"/>
    <x v="6"/>
    <x v="12"/>
  </r>
  <r>
    <x v="244"/>
    <n v="6236"/>
    <n v="2839"/>
    <n v="7"/>
    <x v="0"/>
    <x v="1"/>
    <x v="3"/>
    <x v="333"/>
    <x v="360"/>
    <x v="0"/>
    <x v="3"/>
    <x v="37"/>
  </r>
  <r>
    <x v="245"/>
    <n v="5410"/>
    <n v="2456"/>
    <n v="8"/>
    <x v="2"/>
    <x v="5"/>
    <x v="3"/>
    <x v="334"/>
    <x v="361"/>
    <x v="3"/>
    <x v="4"/>
    <x v="3"/>
  </r>
  <r>
    <x v="245"/>
    <n v="5410"/>
    <n v="2456"/>
    <n v="8"/>
    <x v="2"/>
    <x v="5"/>
    <x v="3"/>
    <x v="335"/>
    <x v="362"/>
    <x v="0"/>
    <x v="16"/>
    <x v="12"/>
  </r>
  <r>
    <x v="246"/>
    <n v="3024"/>
    <n v="1353"/>
    <n v="1"/>
    <x v="2"/>
    <x v="7"/>
    <x v="3"/>
    <x v="336"/>
    <x v="363"/>
    <x v="3"/>
    <x v="4"/>
    <x v="3"/>
  </r>
  <r>
    <x v="246"/>
    <n v="3024"/>
    <n v="1353"/>
    <n v="1"/>
    <x v="2"/>
    <x v="7"/>
    <x v="3"/>
    <x v="337"/>
    <x v="364"/>
    <x v="5"/>
    <x v="12"/>
    <x v="13"/>
  </r>
  <r>
    <x v="247"/>
    <n v="7434"/>
    <n v="2851"/>
    <n v="5"/>
    <x v="1"/>
    <x v="6"/>
    <x v="0"/>
    <x v="116"/>
    <x v="365"/>
    <x v="1"/>
    <x v="6"/>
    <x v="29"/>
  </r>
  <r>
    <x v="248"/>
    <n v="7213"/>
    <n v="508"/>
    <n v="19"/>
    <x v="0"/>
    <x v="0"/>
    <x v="1"/>
    <x v="338"/>
    <x v="366"/>
    <x v="4"/>
    <x v="8"/>
    <x v="21"/>
  </r>
  <r>
    <x v="248"/>
    <n v="7213"/>
    <n v="508"/>
    <n v="19"/>
    <x v="0"/>
    <x v="0"/>
    <x v="1"/>
    <x v="339"/>
    <x v="367"/>
    <x v="5"/>
    <x v="13"/>
    <x v="35"/>
  </r>
  <r>
    <x v="248"/>
    <n v="3176"/>
    <n v="586"/>
    <n v="9"/>
    <x v="2"/>
    <x v="4"/>
    <x v="2"/>
    <x v="338"/>
    <x v="366"/>
    <x v="4"/>
    <x v="8"/>
    <x v="21"/>
  </r>
  <r>
    <x v="248"/>
    <n v="3176"/>
    <n v="586"/>
    <n v="9"/>
    <x v="2"/>
    <x v="4"/>
    <x v="2"/>
    <x v="339"/>
    <x v="367"/>
    <x v="5"/>
    <x v="13"/>
    <x v="35"/>
  </r>
  <r>
    <x v="249"/>
    <n v="9144"/>
    <n v="2220"/>
    <n v="18"/>
    <x v="1"/>
    <x v="9"/>
    <x v="3"/>
    <x v="340"/>
    <x v="368"/>
    <x v="0"/>
    <x v="0"/>
    <x v="22"/>
  </r>
  <r>
    <x v="250"/>
    <n v="4146"/>
    <n v="865"/>
    <n v="19"/>
    <x v="2"/>
    <x v="4"/>
    <x v="2"/>
    <x v="341"/>
    <x v="369"/>
    <x v="4"/>
    <x v="15"/>
    <x v="58"/>
  </r>
  <r>
    <x v="250"/>
    <n v="3793"/>
    <n v="875"/>
    <n v="7"/>
    <x v="2"/>
    <x v="4"/>
    <x v="2"/>
    <x v="341"/>
    <x v="369"/>
    <x v="4"/>
    <x v="15"/>
    <x v="58"/>
  </r>
  <r>
    <x v="251"/>
    <n v="7169"/>
    <n v="2385"/>
    <n v="11"/>
    <x v="2"/>
    <x v="7"/>
    <x v="4"/>
    <x v="342"/>
    <x v="370"/>
    <x v="3"/>
    <x v="4"/>
    <x v="22"/>
  </r>
  <r>
    <x v="251"/>
    <n v="4046"/>
    <n v="417"/>
    <n v="18"/>
    <x v="2"/>
    <x v="5"/>
    <x v="3"/>
    <x v="342"/>
    <x v="370"/>
    <x v="3"/>
    <x v="4"/>
    <x v="22"/>
  </r>
  <r>
    <x v="252"/>
    <n v="4164"/>
    <n v="905"/>
    <n v="11"/>
    <x v="0"/>
    <x v="10"/>
    <x v="4"/>
    <x v="343"/>
    <x v="371"/>
    <x v="3"/>
    <x v="9"/>
    <x v="16"/>
  </r>
  <r>
    <x v="252"/>
    <n v="5389"/>
    <n v="2196"/>
    <n v="5"/>
    <x v="2"/>
    <x v="4"/>
    <x v="0"/>
    <x v="343"/>
    <x v="371"/>
    <x v="3"/>
    <x v="9"/>
    <x v="16"/>
  </r>
  <r>
    <x v="253"/>
    <n v="5448"/>
    <n v="2204"/>
    <n v="5"/>
    <x v="2"/>
    <x v="7"/>
    <x v="4"/>
    <x v="344"/>
    <x v="372"/>
    <x v="2"/>
    <x v="5"/>
    <x v="40"/>
  </r>
  <r>
    <x v="254"/>
    <n v="4115"/>
    <n v="1285"/>
    <n v="1"/>
    <x v="2"/>
    <x v="7"/>
    <x v="0"/>
    <x v="156"/>
    <x v="373"/>
    <x v="0"/>
    <x v="3"/>
    <x v="32"/>
  </r>
  <r>
    <x v="254"/>
    <n v="4761"/>
    <n v="2231"/>
    <n v="12"/>
    <x v="2"/>
    <x v="4"/>
    <x v="0"/>
    <x v="156"/>
    <x v="373"/>
    <x v="0"/>
    <x v="3"/>
    <x v="32"/>
  </r>
  <r>
    <x v="255"/>
    <n v="5899"/>
    <n v="2264"/>
    <n v="6"/>
    <x v="1"/>
    <x v="9"/>
    <x v="2"/>
    <x v="345"/>
    <x v="374"/>
    <x v="2"/>
    <x v="2"/>
    <x v="59"/>
  </r>
  <r>
    <x v="256"/>
    <n v="6109"/>
    <n v="3040"/>
    <n v="9"/>
    <x v="2"/>
    <x v="5"/>
    <x v="2"/>
    <x v="346"/>
    <x v="375"/>
    <x v="2"/>
    <x v="2"/>
    <x v="26"/>
  </r>
  <r>
    <x v="256"/>
    <n v="6109"/>
    <n v="3040"/>
    <n v="9"/>
    <x v="2"/>
    <x v="5"/>
    <x v="2"/>
    <x v="347"/>
    <x v="376"/>
    <x v="2"/>
    <x v="7"/>
    <x v="59"/>
  </r>
  <r>
    <x v="256"/>
    <n v="4628"/>
    <n v="1491"/>
    <n v="17"/>
    <x v="0"/>
    <x v="0"/>
    <x v="0"/>
    <x v="346"/>
    <x v="375"/>
    <x v="2"/>
    <x v="2"/>
    <x v="26"/>
  </r>
  <r>
    <x v="256"/>
    <n v="4628"/>
    <n v="1491"/>
    <n v="17"/>
    <x v="0"/>
    <x v="0"/>
    <x v="0"/>
    <x v="347"/>
    <x v="376"/>
    <x v="2"/>
    <x v="7"/>
    <x v="59"/>
  </r>
  <r>
    <x v="257"/>
    <n v="4369"/>
    <n v="584"/>
    <n v="13"/>
    <x v="1"/>
    <x v="2"/>
    <x v="3"/>
    <x v="129"/>
    <x v="377"/>
    <x v="1"/>
    <x v="17"/>
    <x v="24"/>
  </r>
  <r>
    <x v="257"/>
    <n v="4369"/>
    <n v="584"/>
    <n v="13"/>
    <x v="1"/>
    <x v="2"/>
    <x v="3"/>
    <x v="348"/>
    <x v="378"/>
    <x v="4"/>
    <x v="10"/>
    <x v="27"/>
  </r>
  <r>
    <x v="258"/>
    <n v="5632"/>
    <n v="2358"/>
    <n v="20"/>
    <x v="2"/>
    <x v="7"/>
    <x v="3"/>
    <x v="349"/>
    <x v="379"/>
    <x v="3"/>
    <x v="4"/>
    <x v="18"/>
  </r>
  <r>
    <x v="258"/>
    <n v="5632"/>
    <n v="2358"/>
    <n v="20"/>
    <x v="2"/>
    <x v="7"/>
    <x v="3"/>
    <x v="350"/>
    <x v="380"/>
    <x v="0"/>
    <x v="0"/>
    <x v="42"/>
  </r>
  <r>
    <x v="258"/>
    <n v="5632"/>
    <n v="2358"/>
    <n v="20"/>
    <x v="2"/>
    <x v="7"/>
    <x v="3"/>
    <x v="351"/>
    <x v="381"/>
    <x v="5"/>
    <x v="14"/>
    <x v="9"/>
  </r>
  <r>
    <x v="259"/>
    <n v="7519"/>
    <n v="402"/>
    <n v="14"/>
    <x v="1"/>
    <x v="8"/>
    <x v="0"/>
    <x v="352"/>
    <x v="382"/>
    <x v="3"/>
    <x v="9"/>
    <x v="15"/>
  </r>
  <r>
    <x v="259"/>
    <n v="1564"/>
    <n v="674"/>
    <n v="13"/>
    <x v="0"/>
    <x v="0"/>
    <x v="1"/>
    <x v="352"/>
    <x v="382"/>
    <x v="3"/>
    <x v="9"/>
    <x v="15"/>
  </r>
  <r>
    <x v="260"/>
    <n v="2804"/>
    <n v="936"/>
    <n v="10"/>
    <x v="0"/>
    <x v="0"/>
    <x v="3"/>
    <x v="353"/>
    <x v="383"/>
    <x v="4"/>
    <x v="10"/>
    <x v="26"/>
  </r>
  <r>
    <x v="260"/>
    <n v="2804"/>
    <n v="936"/>
    <n v="10"/>
    <x v="0"/>
    <x v="0"/>
    <x v="3"/>
    <x v="354"/>
    <x v="384"/>
    <x v="0"/>
    <x v="16"/>
    <x v="11"/>
  </r>
  <r>
    <x v="260"/>
    <n v="2804"/>
    <n v="936"/>
    <n v="10"/>
    <x v="0"/>
    <x v="0"/>
    <x v="3"/>
    <x v="355"/>
    <x v="385"/>
    <x v="0"/>
    <x v="16"/>
    <x v="23"/>
  </r>
  <r>
    <x v="261"/>
    <n v="2321"/>
    <n v="505"/>
    <n v="6"/>
    <x v="2"/>
    <x v="5"/>
    <x v="2"/>
    <x v="356"/>
    <x v="386"/>
    <x v="1"/>
    <x v="6"/>
    <x v="15"/>
  </r>
  <r>
    <x v="262"/>
    <n v="5730"/>
    <n v="482"/>
    <n v="6"/>
    <x v="0"/>
    <x v="3"/>
    <x v="4"/>
    <x v="357"/>
    <x v="387"/>
    <x v="0"/>
    <x v="16"/>
    <x v="19"/>
  </r>
  <r>
    <x v="263"/>
    <n v="7441"/>
    <n v="867"/>
    <n v="12"/>
    <x v="2"/>
    <x v="7"/>
    <x v="4"/>
    <x v="179"/>
    <x v="388"/>
    <x v="1"/>
    <x v="1"/>
    <x v="35"/>
  </r>
  <r>
    <x v="263"/>
    <n v="7441"/>
    <n v="867"/>
    <n v="12"/>
    <x v="2"/>
    <x v="7"/>
    <x v="4"/>
    <x v="358"/>
    <x v="389"/>
    <x v="4"/>
    <x v="10"/>
    <x v="8"/>
  </r>
  <r>
    <x v="264"/>
    <n v="1732"/>
    <n v="766"/>
    <n v="7"/>
    <x v="1"/>
    <x v="9"/>
    <x v="0"/>
    <x v="78"/>
    <x v="390"/>
    <x v="2"/>
    <x v="5"/>
    <x v="14"/>
  </r>
  <r>
    <x v="264"/>
    <n v="8788"/>
    <n v="3944"/>
    <n v="19"/>
    <x v="1"/>
    <x v="8"/>
    <x v="2"/>
    <x v="78"/>
    <x v="390"/>
    <x v="2"/>
    <x v="5"/>
    <x v="14"/>
  </r>
  <r>
    <x v="265"/>
    <n v="838"/>
    <n v="271"/>
    <n v="11"/>
    <x v="1"/>
    <x v="6"/>
    <x v="2"/>
    <x v="359"/>
    <x v="391"/>
    <x v="5"/>
    <x v="12"/>
    <x v="49"/>
  </r>
  <r>
    <x v="265"/>
    <n v="838"/>
    <n v="271"/>
    <n v="11"/>
    <x v="1"/>
    <x v="6"/>
    <x v="2"/>
    <x v="360"/>
    <x v="392"/>
    <x v="1"/>
    <x v="17"/>
    <x v="26"/>
  </r>
  <r>
    <x v="265"/>
    <n v="3577"/>
    <n v="699"/>
    <n v="2"/>
    <x v="2"/>
    <x v="4"/>
    <x v="0"/>
    <x v="359"/>
    <x v="391"/>
    <x v="5"/>
    <x v="12"/>
    <x v="49"/>
  </r>
  <r>
    <x v="265"/>
    <n v="3577"/>
    <n v="699"/>
    <n v="2"/>
    <x v="2"/>
    <x v="4"/>
    <x v="0"/>
    <x v="360"/>
    <x v="392"/>
    <x v="1"/>
    <x v="17"/>
    <x v="26"/>
  </r>
  <r>
    <x v="266"/>
    <n v="7122"/>
    <n v="1836"/>
    <n v="6"/>
    <x v="0"/>
    <x v="10"/>
    <x v="1"/>
    <x v="361"/>
    <x v="393"/>
    <x v="4"/>
    <x v="8"/>
    <x v="44"/>
  </r>
  <r>
    <x v="266"/>
    <n v="7122"/>
    <n v="1836"/>
    <n v="6"/>
    <x v="0"/>
    <x v="10"/>
    <x v="1"/>
    <x v="362"/>
    <x v="394"/>
    <x v="4"/>
    <x v="15"/>
    <x v="45"/>
  </r>
  <r>
    <x v="266"/>
    <n v="7122"/>
    <n v="1836"/>
    <n v="6"/>
    <x v="0"/>
    <x v="10"/>
    <x v="1"/>
    <x v="363"/>
    <x v="395"/>
    <x v="2"/>
    <x v="5"/>
    <x v="17"/>
  </r>
  <r>
    <x v="266"/>
    <n v="7327"/>
    <n v="2596"/>
    <n v="15"/>
    <x v="1"/>
    <x v="6"/>
    <x v="3"/>
    <x v="361"/>
    <x v="393"/>
    <x v="4"/>
    <x v="8"/>
    <x v="44"/>
  </r>
  <r>
    <x v="266"/>
    <n v="7327"/>
    <n v="2596"/>
    <n v="15"/>
    <x v="1"/>
    <x v="6"/>
    <x v="3"/>
    <x v="362"/>
    <x v="394"/>
    <x v="4"/>
    <x v="15"/>
    <x v="45"/>
  </r>
  <r>
    <x v="266"/>
    <n v="7327"/>
    <n v="2596"/>
    <n v="15"/>
    <x v="1"/>
    <x v="6"/>
    <x v="3"/>
    <x v="363"/>
    <x v="395"/>
    <x v="2"/>
    <x v="5"/>
    <x v="17"/>
  </r>
  <r>
    <x v="267"/>
    <n v="2239"/>
    <n v="1094"/>
    <n v="18"/>
    <x v="0"/>
    <x v="1"/>
    <x v="4"/>
    <x v="364"/>
    <x v="396"/>
    <x v="0"/>
    <x v="16"/>
    <x v="41"/>
  </r>
  <r>
    <x v="267"/>
    <n v="4932"/>
    <n v="1153"/>
    <n v="1"/>
    <x v="1"/>
    <x v="6"/>
    <x v="4"/>
    <x v="364"/>
    <x v="396"/>
    <x v="0"/>
    <x v="16"/>
    <x v="41"/>
  </r>
  <r>
    <x v="268"/>
    <n v="4609"/>
    <n v="1084"/>
    <n v="8"/>
    <x v="0"/>
    <x v="1"/>
    <x v="0"/>
    <x v="365"/>
    <x v="397"/>
    <x v="0"/>
    <x v="3"/>
    <x v="17"/>
  </r>
  <r>
    <x v="268"/>
    <n v="2328"/>
    <n v="788"/>
    <n v="4"/>
    <x v="1"/>
    <x v="8"/>
    <x v="0"/>
    <x v="365"/>
    <x v="397"/>
    <x v="0"/>
    <x v="3"/>
    <x v="17"/>
  </r>
  <r>
    <x v="268"/>
    <n v="4734"/>
    <n v="958"/>
    <n v="7"/>
    <x v="0"/>
    <x v="1"/>
    <x v="1"/>
    <x v="365"/>
    <x v="397"/>
    <x v="0"/>
    <x v="3"/>
    <x v="17"/>
  </r>
  <r>
    <x v="269"/>
    <n v="1388"/>
    <n v="345"/>
    <n v="5"/>
    <x v="2"/>
    <x v="7"/>
    <x v="0"/>
    <x v="366"/>
    <x v="398"/>
    <x v="2"/>
    <x v="5"/>
    <x v="56"/>
  </r>
  <r>
    <x v="269"/>
    <n v="8555"/>
    <n v="1638"/>
    <n v="8"/>
    <x v="0"/>
    <x v="3"/>
    <x v="3"/>
    <x v="366"/>
    <x v="398"/>
    <x v="2"/>
    <x v="5"/>
    <x v="56"/>
  </r>
  <r>
    <x v="270"/>
    <n v="9024"/>
    <n v="730"/>
    <n v="4"/>
    <x v="2"/>
    <x v="4"/>
    <x v="3"/>
    <x v="367"/>
    <x v="399"/>
    <x v="4"/>
    <x v="8"/>
    <x v="42"/>
  </r>
  <r>
    <x v="270"/>
    <n v="2468"/>
    <n v="418"/>
    <n v="4"/>
    <x v="0"/>
    <x v="3"/>
    <x v="3"/>
    <x v="367"/>
    <x v="399"/>
    <x v="4"/>
    <x v="8"/>
    <x v="42"/>
  </r>
  <r>
    <x v="271"/>
    <n v="9438"/>
    <n v="1801"/>
    <n v="4"/>
    <x v="0"/>
    <x v="0"/>
    <x v="4"/>
    <x v="368"/>
    <x v="400"/>
    <x v="0"/>
    <x v="3"/>
    <x v="28"/>
  </r>
  <r>
    <x v="271"/>
    <n v="9438"/>
    <n v="1801"/>
    <n v="4"/>
    <x v="0"/>
    <x v="0"/>
    <x v="4"/>
    <x v="369"/>
    <x v="401"/>
    <x v="4"/>
    <x v="10"/>
    <x v="59"/>
  </r>
  <r>
    <x v="272"/>
    <n v="2685"/>
    <n v="379"/>
    <n v="18"/>
    <x v="0"/>
    <x v="10"/>
    <x v="0"/>
    <x v="370"/>
    <x v="402"/>
    <x v="5"/>
    <x v="14"/>
    <x v="25"/>
  </r>
  <r>
    <x v="272"/>
    <n v="2685"/>
    <n v="379"/>
    <n v="18"/>
    <x v="0"/>
    <x v="10"/>
    <x v="0"/>
    <x v="174"/>
    <x v="403"/>
    <x v="0"/>
    <x v="16"/>
    <x v="29"/>
  </r>
  <r>
    <x v="272"/>
    <n v="9916"/>
    <n v="4602"/>
    <n v="14"/>
    <x v="2"/>
    <x v="5"/>
    <x v="0"/>
    <x v="370"/>
    <x v="402"/>
    <x v="5"/>
    <x v="14"/>
    <x v="25"/>
  </r>
  <r>
    <x v="272"/>
    <n v="9916"/>
    <n v="4602"/>
    <n v="14"/>
    <x v="2"/>
    <x v="5"/>
    <x v="0"/>
    <x v="174"/>
    <x v="403"/>
    <x v="0"/>
    <x v="16"/>
    <x v="29"/>
  </r>
  <r>
    <x v="272"/>
    <n v="6184"/>
    <n v="50"/>
    <n v="14"/>
    <x v="0"/>
    <x v="0"/>
    <x v="3"/>
    <x v="370"/>
    <x v="402"/>
    <x v="5"/>
    <x v="14"/>
    <x v="25"/>
  </r>
  <r>
    <x v="272"/>
    <n v="6184"/>
    <n v="50"/>
    <n v="14"/>
    <x v="0"/>
    <x v="0"/>
    <x v="3"/>
    <x v="174"/>
    <x v="403"/>
    <x v="0"/>
    <x v="16"/>
    <x v="29"/>
  </r>
  <r>
    <x v="272"/>
    <n v="4548"/>
    <n v="2135"/>
    <n v="8"/>
    <x v="1"/>
    <x v="6"/>
    <x v="1"/>
    <x v="370"/>
    <x v="402"/>
    <x v="5"/>
    <x v="14"/>
    <x v="25"/>
  </r>
  <r>
    <x v="272"/>
    <n v="4548"/>
    <n v="2135"/>
    <n v="8"/>
    <x v="1"/>
    <x v="6"/>
    <x v="1"/>
    <x v="174"/>
    <x v="403"/>
    <x v="0"/>
    <x v="16"/>
    <x v="29"/>
  </r>
  <r>
    <x v="273"/>
    <n v="7195"/>
    <n v="1665"/>
    <n v="7"/>
    <x v="1"/>
    <x v="6"/>
    <x v="4"/>
    <x v="371"/>
    <x v="404"/>
    <x v="2"/>
    <x v="7"/>
    <x v="41"/>
  </r>
  <r>
    <x v="273"/>
    <n v="7195"/>
    <n v="1665"/>
    <n v="7"/>
    <x v="1"/>
    <x v="6"/>
    <x v="4"/>
    <x v="372"/>
    <x v="405"/>
    <x v="2"/>
    <x v="2"/>
    <x v="58"/>
  </r>
  <r>
    <x v="274"/>
    <n v="3098"/>
    <n v="957"/>
    <n v="18"/>
    <x v="2"/>
    <x v="11"/>
    <x v="4"/>
    <x v="373"/>
    <x v="406"/>
    <x v="4"/>
    <x v="10"/>
    <x v="41"/>
  </r>
  <r>
    <x v="275"/>
    <n v="5412"/>
    <n v="1192"/>
    <n v="18"/>
    <x v="2"/>
    <x v="4"/>
    <x v="3"/>
    <x v="374"/>
    <x v="407"/>
    <x v="3"/>
    <x v="9"/>
    <x v="42"/>
  </r>
  <r>
    <x v="275"/>
    <n v="5412"/>
    <n v="1192"/>
    <n v="18"/>
    <x v="2"/>
    <x v="4"/>
    <x v="3"/>
    <x v="375"/>
    <x v="408"/>
    <x v="3"/>
    <x v="4"/>
    <x v="52"/>
  </r>
  <r>
    <x v="276"/>
    <n v="1397"/>
    <n v="686"/>
    <n v="11"/>
    <x v="2"/>
    <x v="5"/>
    <x v="3"/>
    <x v="376"/>
    <x v="409"/>
    <x v="2"/>
    <x v="5"/>
    <x v="13"/>
  </r>
  <r>
    <x v="277"/>
    <n v="9279"/>
    <n v="552"/>
    <n v="14"/>
    <x v="2"/>
    <x v="5"/>
    <x v="2"/>
    <x v="377"/>
    <x v="410"/>
    <x v="2"/>
    <x v="2"/>
    <x v="13"/>
  </r>
  <r>
    <x v="277"/>
    <n v="9279"/>
    <n v="552"/>
    <n v="14"/>
    <x v="2"/>
    <x v="5"/>
    <x v="2"/>
    <x v="378"/>
    <x v="411"/>
    <x v="3"/>
    <x v="11"/>
    <x v="11"/>
  </r>
  <r>
    <x v="277"/>
    <n v="2596"/>
    <n v="1003"/>
    <n v="19"/>
    <x v="1"/>
    <x v="8"/>
    <x v="3"/>
    <x v="377"/>
    <x v="410"/>
    <x v="2"/>
    <x v="2"/>
    <x v="13"/>
  </r>
  <r>
    <x v="277"/>
    <n v="2596"/>
    <n v="1003"/>
    <n v="19"/>
    <x v="1"/>
    <x v="8"/>
    <x v="3"/>
    <x v="378"/>
    <x v="411"/>
    <x v="3"/>
    <x v="11"/>
    <x v="11"/>
  </r>
  <r>
    <x v="278"/>
    <n v="6732"/>
    <n v="911"/>
    <n v="19"/>
    <x v="2"/>
    <x v="11"/>
    <x v="2"/>
    <x v="379"/>
    <x v="412"/>
    <x v="2"/>
    <x v="2"/>
    <x v="13"/>
  </r>
  <r>
    <x v="278"/>
    <n v="4495"/>
    <n v="1408"/>
    <n v="14"/>
    <x v="1"/>
    <x v="2"/>
    <x v="2"/>
    <x v="379"/>
    <x v="412"/>
    <x v="2"/>
    <x v="2"/>
    <x v="13"/>
  </r>
  <r>
    <x v="279"/>
    <n v="9653"/>
    <n v="2471"/>
    <n v="6"/>
    <x v="1"/>
    <x v="8"/>
    <x v="0"/>
    <x v="380"/>
    <x v="413"/>
    <x v="2"/>
    <x v="2"/>
    <x v="41"/>
  </r>
  <r>
    <x v="280"/>
    <n v="8945"/>
    <n v="1728"/>
    <n v="10"/>
    <x v="2"/>
    <x v="4"/>
    <x v="0"/>
    <x v="381"/>
    <x v="414"/>
    <x v="1"/>
    <x v="17"/>
    <x v="51"/>
  </r>
  <r>
    <x v="281"/>
    <n v="4007"/>
    <n v="201"/>
    <n v="13"/>
    <x v="2"/>
    <x v="11"/>
    <x v="4"/>
    <x v="299"/>
    <x v="415"/>
    <x v="5"/>
    <x v="12"/>
    <x v="20"/>
  </r>
  <r>
    <x v="281"/>
    <n v="4007"/>
    <n v="201"/>
    <n v="13"/>
    <x v="2"/>
    <x v="11"/>
    <x v="4"/>
    <x v="103"/>
    <x v="416"/>
    <x v="4"/>
    <x v="8"/>
    <x v="28"/>
  </r>
  <r>
    <x v="282"/>
    <n v="810"/>
    <n v="231"/>
    <n v="18"/>
    <x v="2"/>
    <x v="11"/>
    <x v="2"/>
    <x v="299"/>
    <x v="417"/>
    <x v="0"/>
    <x v="16"/>
    <x v="20"/>
  </r>
  <r>
    <x v="283"/>
    <n v="9789"/>
    <n v="2071"/>
    <n v="18"/>
    <x v="2"/>
    <x v="11"/>
    <x v="1"/>
    <x v="382"/>
    <x v="418"/>
    <x v="2"/>
    <x v="7"/>
    <x v="16"/>
  </r>
  <r>
    <x v="283"/>
    <n v="9229"/>
    <n v="4090"/>
    <n v="8"/>
    <x v="0"/>
    <x v="0"/>
    <x v="4"/>
    <x v="382"/>
    <x v="418"/>
    <x v="2"/>
    <x v="7"/>
    <x v="16"/>
  </r>
  <r>
    <x v="284"/>
    <n v="8141"/>
    <n v="3968"/>
    <n v="18"/>
    <x v="1"/>
    <x v="6"/>
    <x v="1"/>
    <x v="56"/>
    <x v="419"/>
    <x v="2"/>
    <x v="7"/>
    <x v="29"/>
  </r>
  <r>
    <x v="284"/>
    <n v="8141"/>
    <n v="3968"/>
    <n v="18"/>
    <x v="1"/>
    <x v="6"/>
    <x v="1"/>
    <x v="383"/>
    <x v="420"/>
    <x v="1"/>
    <x v="17"/>
    <x v="40"/>
  </r>
  <r>
    <x v="284"/>
    <n v="1067"/>
    <n v="251"/>
    <n v="14"/>
    <x v="2"/>
    <x v="7"/>
    <x v="2"/>
    <x v="56"/>
    <x v="419"/>
    <x v="2"/>
    <x v="7"/>
    <x v="29"/>
  </r>
  <r>
    <x v="284"/>
    <n v="1067"/>
    <n v="251"/>
    <n v="14"/>
    <x v="2"/>
    <x v="7"/>
    <x v="2"/>
    <x v="383"/>
    <x v="420"/>
    <x v="1"/>
    <x v="17"/>
    <x v="40"/>
  </r>
  <r>
    <x v="285"/>
    <n v="3839"/>
    <n v="1415"/>
    <n v="10"/>
    <x v="1"/>
    <x v="9"/>
    <x v="0"/>
    <x v="384"/>
    <x v="421"/>
    <x v="3"/>
    <x v="4"/>
    <x v="59"/>
  </r>
  <r>
    <x v="285"/>
    <n v="3839"/>
    <n v="1415"/>
    <n v="10"/>
    <x v="1"/>
    <x v="9"/>
    <x v="0"/>
    <x v="360"/>
    <x v="422"/>
    <x v="0"/>
    <x v="3"/>
    <x v="26"/>
  </r>
  <r>
    <x v="286"/>
    <n v="2858"/>
    <n v="482"/>
    <n v="13"/>
    <x v="0"/>
    <x v="0"/>
    <x v="4"/>
    <x v="385"/>
    <x v="423"/>
    <x v="4"/>
    <x v="10"/>
    <x v="3"/>
  </r>
  <r>
    <x v="287"/>
    <n v="2137"/>
    <n v="638"/>
    <n v="12"/>
    <x v="2"/>
    <x v="11"/>
    <x v="1"/>
    <x v="218"/>
    <x v="424"/>
    <x v="2"/>
    <x v="5"/>
    <x v="20"/>
  </r>
  <r>
    <x v="287"/>
    <n v="2831"/>
    <n v="1289"/>
    <n v="12"/>
    <x v="2"/>
    <x v="5"/>
    <x v="1"/>
    <x v="218"/>
    <x v="424"/>
    <x v="2"/>
    <x v="5"/>
    <x v="20"/>
  </r>
  <r>
    <x v="288"/>
    <n v="3913"/>
    <n v="961"/>
    <n v="15"/>
    <x v="2"/>
    <x v="7"/>
    <x v="0"/>
    <x v="386"/>
    <x v="425"/>
    <x v="5"/>
    <x v="12"/>
    <x v="42"/>
  </r>
  <r>
    <x v="288"/>
    <n v="3913"/>
    <n v="961"/>
    <n v="15"/>
    <x v="2"/>
    <x v="7"/>
    <x v="0"/>
    <x v="387"/>
    <x v="426"/>
    <x v="3"/>
    <x v="11"/>
    <x v="51"/>
  </r>
  <r>
    <x v="289"/>
    <n v="4468"/>
    <n v="1940"/>
    <n v="9"/>
    <x v="1"/>
    <x v="8"/>
    <x v="4"/>
    <x v="388"/>
    <x v="427"/>
    <x v="0"/>
    <x v="16"/>
    <x v="25"/>
  </r>
  <r>
    <x v="290"/>
    <n v="1579"/>
    <n v="602"/>
    <n v="9"/>
    <x v="0"/>
    <x v="3"/>
    <x v="3"/>
    <x v="389"/>
    <x v="428"/>
    <x v="5"/>
    <x v="13"/>
    <x v="8"/>
  </r>
  <r>
    <x v="290"/>
    <n v="1579"/>
    <n v="602"/>
    <n v="9"/>
    <x v="0"/>
    <x v="3"/>
    <x v="3"/>
    <x v="390"/>
    <x v="429"/>
    <x v="4"/>
    <x v="8"/>
    <x v="9"/>
  </r>
  <r>
    <x v="290"/>
    <n v="1579"/>
    <n v="602"/>
    <n v="9"/>
    <x v="0"/>
    <x v="3"/>
    <x v="3"/>
    <x v="84"/>
    <x v="430"/>
    <x v="5"/>
    <x v="13"/>
    <x v="35"/>
  </r>
  <r>
    <x v="290"/>
    <n v="1579"/>
    <n v="602"/>
    <n v="9"/>
    <x v="0"/>
    <x v="3"/>
    <x v="3"/>
    <x v="391"/>
    <x v="431"/>
    <x v="2"/>
    <x v="7"/>
    <x v="31"/>
  </r>
  <r>
    <x v="290"/>
    <n v="3760"/>
    <n v="1849"/>
    <n v="19"/>
    <x v="2"/>
    <x v="5"/>
    <x v="2"/>
    <x v="389"/>
    <x v="428"/>
    <x v="5"/>
    <x v="13"/>
    <x v="8"/>
  </r>
  <r>
    <x v="290"/>
    <n v="3760"/>
    <n v="1849"/>
    <n v="19"/>
    <x v="2"/>
    <x v="5"/>
    <x v="2"/>
    <x v="390"/>
    <x v="429"/>
    <x v="4"/>
    <x v="8"/>
    <x v="9"/>
  </r>
  <r>
    <x v="290"/>
    <n v="3760"/>
    <n v="1849"/>
    <n v="19"/>
    <x v="2"/>
    <x v="5"/>
    <x v="2"/>
    <x v="84"/>
    <x v="430"/>
    <x v="5"/>
    <x v="13"/>
    <x v="35"/>
  </r>
  <r>
    <x v="290"/>
    <n v="3760"/>
    <n v="1849"/>
    <n v="19"/>
    <x v="2"/>
    <x v="5"/>
    <x v="2"/>
    <x v="391"/>
    <x v="431"/>
    <x v="2"/>
    <x v="7"/>
    <x v="31"/>
  </r>
  <r>
    <x v="291"/>
    <n v="8706"/>
    <n v="3099"/>
    <n v="14"/>
    <x v="1"/>
    <x v="2"/>
    <x v="3"/>
    <x v="392"/>
    <x v="432"/>
    <x v="1"/>
    <x v="1"/>
    <x v="33"/>
  </r>
  <r>
    <x v="291"/>
    <n v="4708"/>
    <n v="696"/>
    <n v="14"/>
    <x v="0"/>
    <x v="0"/>
    <x v="3"/>
    <x v="392"/>
    <x v="432"/>
    <x v="1"/>
    <x v="1"/>
    <x v="33"/>
  </r>
  <r>
    <x v="291"/>
    <n v="8089"/>
    <n v="3132"/>
    <n v="17"/>
    <x v="2"/>
    <x v="5"/>
    <x v="4"/>
    <x v="392"/>
    <x v="432"/>
    <x v="1"/>
    <x v="1"/>
    <x v="33"/>
  </r>
  <r>
    <x v="292"/>
    <n v="5462"/>
    <n v="673"/>
    <n v="12"/>
    <x v="0"/>
    <x v="1"/>
    <x v="1"/>
    <x v="393"/>
    <x v="433"/>
    <x v="4"/>
    <x v="10"/>
    <x v="5"/>
  </r>
  <r>
    <x v="293"/>
    <n v="6392"/>
    <n v="444"/>
    <n v="18"/>
    <x v="0"/>
    <x v="0"/>
    <x v="3"/>
    <x v="394"/>
    <x v="434"/>
    <x v="0"/>
    <x v="16"/>
    <x v="6"/>
  </r>
  <r>
    <x v="294"/>
    <n v="8706"/>
    <n v="1724"/>
    <n v="3"/>
    <x v="0"/>
    <x v="0"/>
    <x v="1"/>
    <x v="395"/>
    <x v="435"/>
    <x v="0"/>
    <x v="3"/>
    <x v="32"/>
  </r>
  <r>
    <x v="295"/>
    <n v="2349"/>
    <n v="319"/>
    <n v="4"/>
    <x v="1"/>
    <x v="2"/>
    <x v="0"/>
    <x v="138"/>
    <x v="436"/>
    <x v="0"/>
    <x v="0"/>
    <x v="12"/>
  </r>
  <r>
    <x v="295"/>
    <n v="8220"/>
    <n v="3882"/>
    <n v="14"/>
    <x v="2"/>
    <x v="5"/>
    <x v="0"/>
    <x v="138"/>
    <x v="436"/>
    <x v="0"/>
    <x v="0"/>
    <x v="12"/>
  </r>
  <r>
    <x v="295"/>
    <n v="2379"/>
    <n v="279"/>
    <n v="7"/>
    <x v="2"/>
    <x v="5"/>
    <x v="1"/>
    <x v="138"/>
    <x v="436"/>
    <x v="0"/>
    <x v="0"/>
    <x v="12"/>
  </r>
  <r>
    <x v="295"/>
    <n v="7377"/>
    <n v="2049"/>
    <n v="4"/>
    <x v="1"/>
    <x v="6"/>
    <x v="0"/>
    <x v="138"/>
    <x v="436"/>
    <x v="0"/>
    <x v="0"/>
    <x v="12"/>
  </r>
  <r>
    <x v="296"/>
    <n v="717"/>
    <n v="158"/>
    <n v="16"/>
    <x v="2"/>
    <x v="4"/>
    <x v="3"/>
    <x v="396"/>
    <x v="437"/>
    <x v="5"/>
    <x v="14"/>
    <x v="25"/>
  </r>
  <r>
    <x v="296"/>
    <n v="717"/>
    <n v="158"/>
    <n v="16"/>
    <x v="2"/>
    <x v="4"/>
    <x v="3"/>
    <x v="397"/>
    <x v="438"/>
    <x v="0"/>
    <x v="0"/>
    <x v="53"/>
  </r>
  <r>
    <x v="296"/>
    <n v="717"/>
    <n v="158"/>
    <n v="16"/>
    <x v="2"/>
    <x v="4"/>
    <x v="3"/>
    <x v="56"/>
    <x v="439"/>
    <x v="2"/>
    <x v="2"/>
    <x v="29"/>
  </r>
  <r>
    <x v="296"/>
    <n v="717"/>
    <n v="158"/>
    <n v="16"/>
    <x v="2"/>
    <x v="4"/>
    <x v="3"/>
    <x v="398"/>
    <x v="440"/>
    <x v="2"/>
    <x v="5"/>
    <x v="46"/>
  </r>
  <r>
    <x v="296"/>
    <n v="717"/>
    <n v="158"/>
    <n v="16"/>
    <x v="2"/>
    <x v="4"/>
    <x v="3"/>
    <x v="399"/>
    <x v="441"/>
    <x v="0"/>
    <x v="3"/>
    <x v="11"/>
  </r>
  <r>
    <x v="296"/>
    <n v="717"/>
    <n v="158"/>
    <n v="16"/>
    <x v="2"/>
    <x v="4"/>
    <x v="3"/>
    <x v="400"/>
    <x v="442"/>
    <x v="2"/>
    <x v="7"/>
    <x v="59"/>
  </r>
  <r>
    <x v="296"/>
    <n v="508"/>
    <n v="177"/>
    <n v="17"/>
    <x v="2"/>
    <x v="7"/>
    <x v="0"/>
    <x v="396"/>
    <x v="437"/>
    <x v="5"/>
    <x v="14"/>
    <x v="25"/>
  </r>
  <r>
    <x v="296"/>
    <n v="508"/>
    <n v="177"/>
    <n v="17"/>
    <x v="2"/>
    <x v="7"/>
    <x v="0"/>
    <x v="397"/>
    <x v="438"/>
    <x v="0"/>
    <x v="0"/>
    <x v="53"/>
  </r>
  <r>
    <x v="296"/>
    <n v="508"/>
    <n v="177"/>
    <n v="17"/>
    <x v="2"/>
    <x v="7"/>
    <x v="0"/>
    <x v="56"/>
    <x v="439"/>
    <x v="2"/>
    <x v="2"/>
    <x v="29"/>
  </r>
  <r>
    <x v="296"/>
    <n v="508"/>
    <n v="177"/>
    <n v="17"/>
    <x v="2"/>
    <x v="7"/>
    <x v="0"/>
    <x v="398"/>
    <x v="440"/>
    <x v="2"/>
    <x v="5"/>
    <x v="46"/>
  </r>
  <r>
    <x v="296"/>
    <n v="508"/>
    <n v="177"/>
    <n v="17"/>
    <x v="2"/>
    <x v="7"/>
    <x v="0"/>
    <x v="399"/>
    <x v="441"/>
    <x v="0"/>
    <x v="3"/>
    <x v="11"/>
  </r>
  <r>
    <x v="296"/>
    <n v="508"/>
    <n v="177"/>
    <n v="17"/>
    <x v="2"/>
    <x v="7"/>
    <x v="0"/>
    <x v="400"/>
    <x v="442"/>
    <x v="2"/>
    <x v="7"/>
    <x v="59"/>
  </r>
  <r>
    <x v="297"/>
    <n v="9382"/>
    <n v="1085"/>
    <n v="3"/>
    <x v="0"/>
    <x v="1"/>
    <x v="1"/>
    <x v="401"/>
    <x v="443"/>
    <x v="1"/>
    <x v="1"/>
    <x v="17"/>
  </r>
  <r>
    <x v="297"/>
    <n v="9382"/>
    <n v="1085"/>
    <n v="3"/>
    <x v="0"/>
    <x v="1"/>
    <x v="1"/>
    <x v="52"/>
    <x v="444"/>
    <x v="2"/>
    <x v="7"/>
    <x v="37"/>
  </r>
  <r>
    <x v="297"/>
    <n v="4936"/>
    <n v="576"/>
    <n v="19"/>
    <x v="2"/>
    <x v="4"/>
    <x v="4"/>
    <x v="401"/>
    <x v="443"/>
    <x v="1"/>
    <x v="1"/>
    <x v="17"/>
  </r>
  <r>
    <x v="297"/>
    <n v="4936"/>
    <n v="576"/>
    <n v="19"/>
    <x v="2"/>
    <x v="4"/>
    <x v="4"/>
    <x v="52"/>
    <x v="444"/>
    <x v="2"/>
    <x v="7"/>
    <x v="37"/>
  </r>
  <r>
    <x v="298"/>
    <n v="2663"/>
    <n v="64"/>
    <n v="19"/>
    <x v="2"/>
    <x v="7"/>
    <x v="4"/>
    <x v="194"/>
    <x v="445"/>
    <x v="3"/>
    <x v="11"/>
    <x v="47"/>
  </r>
  <r>
    <x v="298"/>
    <n v="2663"/>
    <n v="64"/>
    <n v="19"/>
    <x v="2"/>
    <x v="7"/>
    <x v="4"/>
    <x v="204"/>
    <x v="446"/>
    <x v="5"/>
    <x v="14"/>
    <x v="4"/>
  </r>
  <r>
    <x v="299"/>
    <n v="5151"/>
    <n v="1680"/>
    <n v="5"/>
    <x v="0"/>
    <x v="1"/>
    <x v="2"/>
    <x v="402"/>
    <x v="447"/>
    <x v="4"/>
    <x v="15"/>
    <x v="15"/>
  </r>
  <r>
    <x v="300"/>
    <n v="2514"/>
    <n v="95"/>
    <n v="8"/>
    <x v="1"/>
    <x v="2"/>
    <x v="0"/>
    <x v="403"/>
    <x v="448"/>
    <x v="2"/>
    <x v="7"/>
    <x v="17"/>
  </r>
  <r>
    <x v="301"/>
    <n v="6129"/>
    <n v="2976"/>
    <n v="2"/>
    <x v="0"/>
    <x v="3"/>
    <x v="2"/>
    <x v="404"/>
    <x v="449"/>
    <x v="2"/>
    <x v="5"/>
    <x v="9"/>
  </r>
  <r>
    <x v="301"/>
    <n v="4395"/>
    <n v="1663"/>
    <n v="3"/>
    <x v="2"/>
    <x v="11"/>
    <x v="4"/>
    <x v="404"/>
    <x v="449"/>
    <x v="2"/>
    <x v="5"/>
    <x v="9"/>
  </r>
  <r>
    <x v="302"/>
    <n v="5393"/>
    <n v="2642"/>
    <n v="8"/>
    <x v="2"/>
    <x v="5"/>
    <x v="0"/>
    <x v="405"/>
    <x v="450"/>
    <x v="5"/>
    <x v="13"/>
    <x v="34"/>
  </r>
  <r>
    <x v="303"/>
    <n v="2280"/>
    <n v="509"/>
    <n v="8"/>
    <x v="0"/>
    <x v="10"/>
    <x v="3"/>
    <x v="125"/>
    <x v="451"/>
    <x v="2"/>
    <x v="2"/>
    <x v="49"/>
  </r>
  <r>
    <x v="304"/>
    <n v="6596"/>
    <n v="1439"/>
    <n v="9"/>
    <x v="1"/>
    <x v="8"/>
    <x v="1"/>
    <x v="355"/>
    <x v="452"/>
    <x v="5"/>
    <x v="13"/>
    <x v="23"/>
  </r>
  <r>
    <x v="305"/>
    <n v="4510"/>
    <n v="1896"/>
    <n v="5"/>
    <x v="1"/>
    <x v="8"/>
    <x v="2"/>
    <x v="406"/>
    <x v="453"/>
    <x v="3"/>
    <x v="4"/>
    <x v="59"/>
  </r>
  <r>
    <x v="306"/>
    <n v="6077"/>
    <n v="2378"/>
    <n v="18"/>
    <x v="0"/>
    <x v="10"/>
    <x v="4"/>
    <x v="232"/>
    <x v="454"/>
    <x v="2"/>
    <x v="5"/>
    <x v="40"/>
  </r>
  <r>
    <x v="307"/>
    <n v="5379"/>
    <n v="2510"/>
    <n v="17"/>
    <x v="0"/>
    <x v="1"/>
    <x v="4"/>
    <x v="211"/>
    <x v="455"/>
    <x v="5"/>
    <x v="12"/>
    <x v="39"/>
  </r>
  <r>
    <x v="308"/>
    <n v="4629"/>
    <n v="1660"/>
    <n v="16"/>
    <x v="1"/>
    <x v="6"/>
    <x v="2"/>
    <x v="407"/>
    <x v="456"/>
    <x v="3"/>
    <x v="9"/>
    <x v="28"/>
  </r>
  <r>
    <x v="309"/>
    <n v="2710"/>
    <n v="555"/>
    <n v="20"/>
    <x v="0"/>
    <x v="3"/>
    <x v="1"/>
    <x v="408"/>
    <x v="457"/>
    <x v="1"/>
    <x v="1"/>
    <x v="56"/>
  </r>
  <r>
    <x v="309"/>
    <n v="3224"/>
    <n v="1018"/>
    <n v="14"/>
    <x v="1"/>
    <x v="9"/>
    <x v="0"/>
    <x v="408"/>
    <x v="457"/>
    <x v="1"/>
    <x v="1"/>
    <x v="56"/>
  </r>
  <r>
    <x v="310"/>
    <n v="8042"/>
    <n v="936"/>
    <n v="15"/>
    <x v="1"/>
    <x v="6"/>
    <x v="2"/>
    <x v="409"/>
    <x v="458"/>
    <x v="1"/>
    <x v="6"/>
    <x v="2"/>
  </r>
  <r>
    <x v="310"/>
    <n v="8042"/>
    <n v="936"/>
    <n v="15"/>
    <x v="1"/>
    <x v="6"/>
    <x v="2"/>
    <x v="410"/>
    <x v="459"/>
    <x v="3"/>
    <x v="4"/>
    <x v="39"/>
  </r>
  <r>
    <x v="311"/>
    <n v="3957"/>
    <n v="151"/>
    <n v="10"/>
    <x v="1"/>
    <x v="9"/>
    <x v="2"/>
    <x v="411"/>
    <x v="460"/>
    <x v="4"/>
    <x v="10"/>
    <x v="39"/>
  </r>
  <r>
    <x v="312"/>
    <n v="8769"/>
    <n v="3178"/>
    <n v="16"/>
    <x v="1"/>
    <x v="6"/>
    <x v="1"/>
    <x v="412"/>
    <x v="461"/>
    <x v="1"/>
    <x v="1"/>
    <x v="54"/>
  </r>
  <r>
    <x v="313"/>
    <n v="2957"/>
    <n v="917"/>
    <n v="16"/>
    <x v="1"/>
    <x v="2"/>
    <x v="1"/>
    <x v="413"/>
    <x v="462"/>
    <x v="1"/>
    <x v="1"/>
    <x v="46"/>
  </r>
  <r>
    <x v="314"/>
    <n v="5344"/>
    <n v="2607"/>
    <n v="6"/>
    <x v="1"/>
    <x v="8"/>
    <x v="1"/>
    <x v="414"/>
    <x v="463"/>
    <x v="4"/>
    <x v="8"/>
    <x v="39"/>
  </r>
  <r>
    <x v="314"/>
    <n v="5344"/>
    <n v="2607"/>
    <n v="6"/>
    <x v="1"/>
    <x v="8"/>
    <x v="1"/>
    <x v="415"/>
    <x v="464"/>
    <x v="2"/>
    <x v="7"/>
    <x v="9"/>
  </r>
  <r>
    <x v="315"/>
    <n v="6061"/>
    <n v="2121"/>
    <n v="19"/>
    <x v="0"/>
    <x v="3"/>
    <x v="2"/>
    <x v="416"/>
    <x v="465"/>
    <x v="5"/>
    <x v="14"/>
    <x v="18"/>
  </r>
  <r>
    <x v="315"/>
    <n v="6061"/>
    <n v="2121"/>
    <n v="19"/>
    <x v="0"/>
    <x v="3"/>
    <x v="2"/>
    <x v="417"/>
    <x v="466"/>
    <x v="3"/>
    <x v="9"/>
    <x v="12"/>
  </r>
  <r>
    <x v="316"/>
    <n v="5376"/>
    <n v="1928"/>
    <n v="7"/>
    <x v="2"/>
    <x v="4"/>
    <x v="3"/>
    <x v="418"/>
    <x v="467"/>
    <x v="2"/>
    <x v="5"/>
    <x v="52"/>
  </r>
  <r>
    <x v="317"/>
    <n v="2792"/>
    <n v="1008"/>
    <n v="8"/>
    <x v="0"/>
    <x v="1"/>
    <x v="4"/>
    <x v="419"/>
    <x v="468"/>
    <x v="0"/>
    <x v="0"/>
    <x v="51"/>
  </r>
  <r>
    <x v="318"/>
    <n v="2944"/>
    <n v="249"/>
    <n v="5"/>
    <x v="1"/>
    <x v="9"/>
    <x v="3"/>
    <x v="420"/>
    <x v="469"/>
    <x v="5"/>
    <x v="12"/>
    <x v="19"/>
  </r>
  <r>
    <x v="318"/>
    <n v="2944"/>
    <n v="249"/>
    <n v="5"/>
    <x v="1"/>
    <x v="9"/>
    <x v="3"/>
    <x v="421"/>
    <x v="470"/>
    <x v="4"/>
    <x v="8"/>
    <x v="29"/>
  </r>
  <r>
    <x v="319"/>
    <n v="4220"/>
    <n v="945"/>
    <n v="13"/>
    <x v="1"/>
    <x v="6"/>
    <x v="2"/>
    <x v="422"/>
    <x v="471"/>
    <x v="1"/>
    <x v="6"/>
    <x v="55"/>
  </r>
  <r>
    <x v="319"/>
    <n v="4220"/>
    <n v="945"/>
    <n v="13"/>
    <x v="1"/>
    <x v="6"/>
    <x v="2"/>
    <x v="295"/>
    <x v="472"/>
    <x v="1"/>
    <x v="17"/>
    <x v="50"/>
  </r>
  <r>
    <x v="320"/>
    <n v="8526"/>
    <n v="1704"/>
    <n v="4"/>
    <x v="1"/>
    <x v="9"/>
    <x v="1"/>
    <x v="150"/>
    <x v="473"/>
    <x v="4"/>
    <x v="10"/>
    <x v="45"/>
  </r>
  <r>
    <x v="321"/>
    <n v="8218"/>
    <n v="1430"/>
    <n v="19"/>
    <x v="2"/>
    <x v="11"/>
    <x v="3"/>
    <x v="123"/>
    <x v="474"/>
    <x v="3"/>
    <x v="11"/>
    <x v="0"/>
  </r>
  <r>
    <x v="322"/>
    <n v="599"/>
    <n v="265"/>
    <n v="4"/>
    <x v="0"/>
    <x v="10"/>
    <x v="3"/>
    <x v="423"/>
    <x v="475"/>
    <x v="2"/>
    <x v="2"/>
    <x v="58"/>
  </r>
  <r>
    <x v="322"/>
    <n v="599"/>
    <n v="265"/>
    <n v="4"/>
    <x v="0"/>
    <x v="10"/>
    <x v="3"/>
    <x v="424"/>
    <x v="476"/>
    <x v="2"/>
    <x v="7"/>
    <x v="1"/>
  </r>
  <r>
    <x v="322"/>
    <n v="2727"/>
    <n v="543"/>
    <n v="10"/>
    <x v="2"/>
    <x v="11"/>
    <x v="3"/>
    <x v="423"/>
    <x v="475"/>
    <x v="2"/>
    <x v="2"/>
    <x v="58"/>
  </r>
  <r>
    <x v="322"/>
    <n v="2727"/>
    <n v="543"/>
    <n v="10"/>
    <x v="2"/>
    <x v="11"/>
    <x v="3"/>
    <x v="424"/>
    <x v="476"/>
    <x v="2"/>
    <x v="7"/>
    <x v="1"/>
  </r>
  <r>
    <x v="323"/>
    <n v="2589"/>
    <n v="605"/>
    <n v="11"/>
    <x v="1"/>
    <x v="2"/>
    <x v="2"/>
    <x v="425"/>
    <x v="477"/>
    <x v="3"/>
    <x v="11"/>
    <x v="6"/>
  </r>
  <r>
    <x v="323"/>
    <n v="2589"/>
    <n v="605"/>
    <n v="11"/>
    <x v="1"/>
    <x v="2"/>
    <x v="2"/>
    <x v="366"/>
    <x v="478"/>
    <x v="5"/>
    <x v="14"/>
    <x v="56"/>
  </r>
  <r>
    <x v="324"/>
    <n v="3776"/>
    <n v="1100"/>
    <n v="9"/>
    <x v="0"/>
    <x v="0"/>
    <x v="2"/>
    <x v="426"/>
    <x v="479"/>
    <x v="4"/>
    <x v="10"/>
    <x v="5"/>
  </r>
  <r>
    <x v="324"/>
    <n v="3776"/>
    <n v="1100"/>
    <n v="9"/>
    <x v="0"/>
    <x v="0"/>
    <x v="2"/>
    <x v="427"/>
    <x v="480"/>
    <x v="1"/>
    <x v="17"/>
    <x v="29"/>
  </r>
  <r>
    <x v="325"/>
    <n v="5402"/>
    <n v="1666"/>
    <n v="12"/>
    <x v="2"/>
    <x v="11"/>
    <x v="2"/>
    <x v="428"/>
    <x v="481"/>
    <x v="5"/>
    <x v="14"/>
    <x v="9"/>
  </r>
  <r>
    <x v="326"/>
    <n v="5165"/>
    <n v="885"/>
    <n v="16"/>
    <x v="1"/>
    <x v="2"/>
    <x v="2"/>
    <x v="429"/>
    <x v="482"/>
    <x v="1"/>
    <x v="17"/>
    <x v="5"/>
  </r>
  <r>
    <x v="326"/>
    <n v="4863"/>
    <n v="2394"/>
    <n v="4"/>
    <x v="2"/>
    <x v="11"/>
    <x v="2"/>
    <x v="429"/>
    <x v="482"/>
    <x v="1"/>
    <x v="17"/>
    <x v="5"/>
  </r>
  <r>
    <x v="327"/>
    <n v="1626"/>
    <n v="258"/>
    <n v="15"/>
    <x v="1"/>
    <x v="2"/>
    <x v="2"/>
    <x v="430"/>
    <x v="483"/>
    <x v="0"/>
    <x v="3"/>
    <x v="22"/>
  </r>
  <r>
    <x v="328"/>
    <n v="8851"/>
    <n v="3962"/>
    <n v="7"/>
    <x v="2"/>
    <x v="4"/>
    <x v="2"/>
    <x v="161"/>
    <x v="484"/>
    <x v="0"/>
    <x v="0"/>
    <x v="57"/>
  </r>
  <r>
    <x v="329"/>
    <n v="9680"/>
    <n v="3295"/>
    <n v="9"/>
    <x v="2"/>
    <x v="4"/>
    <x v="4"/>
    <x v="81"/>
    <x v="485"/>
    <x v="2"/>
    <x v="7"/>
    <x v="44"/>
  </r>
  <r>
    <x v="329"/>
    <n v="8468"/>
    <n v="3666"/>
    <n v="8"/>
    <x v="1"/>
    <x v="2"/>
    <x v="0"/>
    <x v="81"/>
    <x v="485"/>
    <x v="2"/>
    <x v="7"/>
    <x v="44"/>
  </r>
  <r>
    <x v="329"/>
    <n v="4441"/>
    <n v="314"/>
    <n v="14"/>
    <x v="2"/>
    <x v="5"/>
    <x v="1"/>
    <x v="81"/>
    <x v="485"/>
    <x v="2"/>
    <x v="7"/>
    <x v="44"/>
  </r>
  <r>
    <x v="330"/>
    <n v="6622"/>
    <n v="2673"/>
    <n v="8"/>
    <x v="2"/>
    <x v="7"/>
    <x v="4"/>
    <x v="431"/>
    <x v="486"/>
    <x v="2"/>
    <x v="5"/>
    <x v="44"/>
  </r>
  <r>
    <x v="331"/>
    <n v="3260"/>
    <n v="207"/>
    <n v="17"/>
    <x v="2"/>
    <x v="4"/>
    <x v="0"/>
    <x v="432"/>
    <x v="487"/>
    <x v="3"/>
    <x v="9"/>
    <x v="16"/>
  </r>
  <r>
    <x v="332"/>
    <n v="8709"/>
    <n v="2322"/>
    <n v="8"/>
    <x v="2"/>
    <x v="4"/>
    <x v="1"/>
    <x v="336"/>
    <x v="488"/>
    <x v="4"/>
    <x v="10"/>
    <x v="3"/>
  </r>
  <r>
    <x v="332"/>
    <n v="8709"/>
    <n v="2322"/>
    <n v="8"/>
    <x v="2"/>
    <x v="4"/>
    <x v="1"/>
    <x v="433"/>
    <x v="489"/>
    <x v="3"/>
    <x v="11"/>
    <x v="46"/>
  </r>
  <r>
    <x v="333"/>
    <n v="5250"/>
    <n v="187"/>
    <n v="1"/>
    <x v="1"/>
    <x v="9"/>
    <x v="4"/>
    <x v="434"/>
    <x v="490"/>
    <x v="5"/>
    <x v="13"/>
    <x v="25"/>
  </r>
  <r>
    <x v="333"/>
    <n v="5250"/>
    <n v="187"/>
    <n v="1"/>
    <x v="1"/>
    <x v="9"/>
    <x v="4"/>
    <x v="435"/>
    <x v="491"/>
    <x v="4"/>
    <x v="15"/>
    <x v="23"/>
  </r>
  <r>
    <x v="334"/>
    <n v="4116"/>
    <n v="921"/>
    <n v="20"/>
    <x v="1"/>
    <x v="8"/>
    <x v="0"/>
    <x v="436"/>
    <x v="492"/>
    <x v="3"/>
    <x v="4"/>
    <x v="56"/>
  </r>
  <r>
    <x v="334"/>
    <n v="4116"/>
    <n v="921"/>
    <n v="20"/>
    <x v="1"/>
    <x v="8"/>
    <x v="0"/>
    <x v="437"/>
    <x v="493"/>
    <x v="1"/>
    <x v="6"/>
    <x v="57"/>
  </r>
  <r>
    <x v="335"/>
    <n v="1109"/>
    <n v="418"/>
    <n v="15"/>
    <x v="1"/>
    <x v="8"/>
    <x v="0"/>
    <x v="438"/>
    <x v="494"/>
    <x v="3"/>
    <x v="4"/>
    <x v="36"/>
  </r>
  <r>
    <x v="336"/>
    <n v="3573"/>
    <n v="562"/>
    <n v="7"/>
    <x v="1"/>
    <x v="2"/>
    <x v="2"/>
    <x v="352"/>
    <x v="201"/>
    <x v="2"/>
    <x v="7"/>
    <x v="15"/>
  </r>
  <r>
    <x v="336"/>
    <n v="3573"/>
    <n v="562"/>
    <n v="7"/>
    <x v="1"/>
    <x v="2"/>
    <x v="2"/>
    <x v="439"/>
    <x v="495"/>
    <x v="3"/>
    <x v="9"/>
    <x v="8"/>
  </r>
  <r>
    <x v="336"/>
    <n v="3573"/>
    <n v="562"/>
    <n v="7"/>
    <x v="1"/>
    <x v="2"/>
    <x v="2"/>
    <x v="440"/>
    <x v="496"/>
    <x v="0"/>
    <x v="16"/>
    <x v="32"/>
  </r>
  <r>
    <x v="336"/>
    <n v="8055"/>
    <n v="661"/>
    <n v="10"/>
    <x v="0"/>
    <x v="10"/>
    <x v="2"/>
    <x v="352"/>
    <x v="201"/>
    <x v="2"/>
    <x v="7"/>
    <x v="15"/>
  </r>
  <r>
    <x v="336"/>
    <n v="8055"/>
    <n v="661"/>
    <n v="10"/>
    <x v="0"/>
    <x v="10"/>
    <x v="2"/>
    <x v="439"/>
    <x v="495"/>
    <x v="3"/>
    <x v="9"/>
    <x v="8"/>
  </r>
  <r>
    <x v="336"/>
    <n v="8055"/>
    <n v="661"/>
    <n v="10"/>
    <x v="0"/>
    <x v="10"/>
    <x v="2"/>
    <x v="440"/>
    <x v="496"/>
    <x v="0"/>
    <x v="16"/>
    <x v="32"/>
  </r>
  <r>
    <x v="337"/>
    <n v="6829"/>
    <n v="2609"/>
    <n v="2"/>
    <x v="0"/>
    <x v="3"/>
    <x v="2"/>
    <x v="441"/>
    <x v="497"/>
    <x v="3"/>
    <x v="11"/>
    <x v="33"/>
  </r>
  <r>
    <x v="337"/>
    <n v="6390"/>
    <n v="3089"/>
    <n v="12"/>
    <x v="1"/>
    <x v="8"/>
    <x v="4"/>
    <x v="441"/>
    <x v="497"/>
    <x v="3"/>
    <x v="11"/>
    <x v="33"/>
  </r>
  <r>
    <x v="338"/>
    <n v="5831"/>
    <n v="1574"/>
    <n v="17"/>
    <x v="1"/>
    <x v="2"/>
    <x v="1"/>
    <x v="442"/>
    <x v="498"/>
    <x v="3"/>
    <x v="11"/>
    <x v="5"/>
  </r>
  <r>
    <x v="338"/>
    <n v="5831"/>
    <n v="1574"/>
    <n v="17"/>
    <x v="1"/>
    <x v="2"/>
    <x v="1"/>
    <x v="114"/>
    <x v="499"/>
    <x v="3"/>
    <x v="9"/>
    <x v="41"/>
  </r>
  <r>
    <x v="338"/>
    <n v="5831"/>
    <n v="1574"/>
    <n v="17"/>
    <x v="1"/>
    <x v="2"/>
    <x v="1"/>
    <x v="53"/>
    <x v="500"/>
    <x v="0"/>
    <x v="0"/>
    <x v="17"/>
  </r>
  <r>
    <x v="339"/>
    <n v="7952"/>
    <n v="3865"/>
    <n v="8"/>
    <x v="2"/>
    <x v="7"/>
    <x v="1"/>
    <x v="443"/>
    <x v="501"/>
    <x v="1"/>
    <x v="17"/>
    <x v="38"/>
  </r>
  <r>
    <x v="340"/>
    <n v="3659"/>
    <n v="379"/>
    <n v="5"/>
    <x v="2"/>
    <x v="11"/>
    <x v="0"/>
    <x v="444"/>
    <x v="502"/>
    <x v="3"/>
    <x v="4"/>
    <x v="47"/>
  </r>
  <r>
    <x v="341"/>
    <n v="4183"/>
    <n v="1159"/>
    <n v="4"/>
    <x v="1"/>
    <x v="2"/>
    <x v="1"/>
    <x v="445"/>
    <x v="503"/>
    <x v="1"/>
    <x v="6"/>
    <x v="60"/>
  </r>
  <r>
    <x v="342"/>
    <n v="7478"/>
    <n v="1381"/>
    <n v="11"/>
    <x v="0"/>
    <x v="10"/>
    <x v="2"/>
    <x v="198"/>
    <x v="504"/>
    <x v="4"/>
    <x v="15"/>
    <x v="44"/>
  </r>
  <r>
    <x v="343"/>
    <n v="702"/>
    <n v="238"/>
    <n v="9"/>
    <x v="0"/>
    <x v="10"/>
    <x v="4"/>
    <x v="446"/>
    <x v="505"/>
    <x v="0"/>
    <x v="16"/>
    <x v="34"/>
  </r>
  <r>
    <x v="344"/>
    <n v="4037"/>
    <n v="1494"/>
    <n v="15"/>
    <x v="2"/>
    <x v="5"/>
    <x v="2"/>
    <x v="447"/>
    <x v="506"/>
    <x v="3"/>
    <x v="11"/>
    <x v="28"/>
  </r>
  <r>
    <x v="345"/>
    <n v="5014"/>
    <n v="2332"/>
    <n v="2"/>
    <x v="2"/>
    <x v="5"/>
    <x v="4"/>
    <x v="448"/>
    <x v="507"/>
    <x v="1"/>
    <x v="1"/>
    <x v="11"/>
  </r>
  <r>
    <x v="346"/>
    <n v="9879"/>
    <n v="4930"/>
    <n v="15"/>
    <x v="0"/>
    <x v="3"/>
    <x v="1"/>
    <x v="123"/>
    <x v="508"/>
    <x v="2"/>
    <x v="7"/>
    <x v="0"/>
  </r>
  <r>
    <x v="347"/>
    <n v="8762"/>
    <n v="3502"/>
    <n v="1"/>
    <x v="0"/>
    <x v="10"/>
    <x v="1"/>
    <x v="51"/>
    <x v="509"/>
    <x v="0"/>
    <x v="16"/>
    <x v="36"/>
  </r>
  <r>
    <x v="348"/>
    <n v="8490"/>
    <n v="800"/>
    <n v="1"/>
    <x v="1"/>
    <x v="2"/>
    <x v="2"/>
    <x v="389"/>
    <x v="510"/>
    <x v="2"/>
    <x v="5"/>
    <x v="8"/>
  </r>
  <r>
    <x v="349"/>
    <n v="6951"/>
    <n v="164"/>
    <n v="10"/>
    <x v="2"/>
    <x v="7"/>
    <x v="0"/>
    <x v="106"/>
    <x v="511"/>
    <x v="2"/>
    <x v="2"/>
    <x v="36"/>
  </r>
  <r>
    <x v="350"/>
    <n v="1078"/>
    <n v="309"/>
    <n v="3"/>
    <x v="0"/>
    <x v="10"/>
    <x v="3"/>
    <x v="449"/>
    <x v="512"/>
    <x v="5"/>
    <x v="14"/>
    <x v="24"/>
  </r>
  <r>
    <x v="350"/>
    <n v="1078"/>
    <n v="309"/>
    <n v="3"/>
    <x v="0"/>
    <x v="10"/>
    <x v="3"/>
    <x v="450"/>
    <x v="513"/>
    <x v="1"/>
    <x v="1"/>
    <x v="20"/>
  </r>
  <r>
    <x v="351"/>
    <n v="8560"/>
    <n v="2166"/>
    <n v="19"/>
    <x v="1"/>
    <x v="9"/>
    <x v="2"/>
    <x v="451"/>
    <x v="514"/>
    <x v="0"/>
    <x v="16"/>
    <x v="37"/>
  </r>
  <r>
    <x v="351"/>
    <n v="1031"/>
    <n v="318"/>
    <n v="20"/>
    <x v="0"/>
    <x v="0"/>
    <x v="0"/>
    <x v="451"/>
    <x v="514"/>
    <x v="0"/>
    <x v="16"/>
    <x v="37"/>
  </r>
  <r>
    <x v="352"/>
    <n v="6402"/>
    <n v="2770"/>
    <n v="19"/>
    <x v="1"/>
    <x v="6"/>
    <x v="1"/>
    <x v="452"/>
    <x v="515"/>
    <x v="0"/>
    <x v="3"/>
    <x v="55"/>
  </r>
  <r>
    <x v="352"/>
    <n v="6402"/>
    <n v="2770"/>
    <n v="19"/>
    <x v="1"/>
    <x v="6"/>
    <x v="1"/>
    <x v="347"/>
    <x v="516"/>
    <x v="0"/>
    <x v="3"/>
    <x v="59"/>
  </r>
  <r>
    <x v="352"/>
    <n v="5916"/>
    <n v="1594"/>
    <n v="19"/>
    <x v="0"/>
    <x v="1"/>
    <x v="1"/>
    <x v="452"/>
    <x v="515"/>
    <x v="0"/>
    <x v="3"/>
    <x v="55"/>
  </r>
  <r>
    <x v="352"/>
    <n v="5916"/>
    <n v="1594"/>
    <n v="19"/>
    <x v="0"/>
    <x v="1"/>
    <x v="1"/>
    <x v="347"/>
    <x v="516"/>
    <x v="0"/>
    <x v="3"/>
    <x v="59"/>
  </r>
  <r>
    <x v="353"/>
    <n v="4015"/>
    <n v="1751"/>
    <n v="15"/>
    <x v="2"/>
    <x v="5"/>
    <x v="1"/>
    <x v="453"/>
    <x v="517"/>
    <x v="3"/>
    <x v="11"/>
    <x v="40"/>
  </r>
  <r>
    <x v="353"/>
    <n v="4015"/>
    <n v="1751"/>
    <n v="15"/>
    <x v="2"/>
    <x v="5"/>
    <x v="1"/>
    <x v="437"/>
    <x v="518"/>
    <x v="2"/>
    <x v="5"/>
    <x v="57"/>
  </r>
  <r>
    <x v="354"/>
    <n v="9335"/>
    <n v="557"/>
    <n v="11"/>
    <x v="0"/>
    <x v="0"/>
    <x v="4"/>
    <x v="454"/>
    <x v="519"/>
    <x v="3"/>
    <x v="4"/>
    <x v="27"/>
  </r>
  <r>
    <x v="355"/>
    <n v="4706"/>
    <n v="594"/>
    <n v="11"/>
    <x v="1"/>
    <x v="9"/>
    <x v="4"/>
    <x v="455"/>
    <x v="520"/>
    <x v="5"/>
    <x v="14"/>
    <x v="36"/>
  </r>
  <r>
    <x v="355"/>
    <n v="4706"/>
    <n v="594"/>
    <n v="11"/>
    <x v="1"/>
    <x v="9"/>
    <x v="4"/>
    <x v="456"/>
    <x v="521"/>
    <x v="5"/>
    <x v="12"/>
    <x v="18"/>
  </r>
  <r>
    <x v="355"/>
    <n v="6584"/>
    <n v="371"/>
    <n v="6"/>
    <x v="1"/>
    <x v="6"/>
    <x v="0"/>
    <x v="455"/>
    <x v="520"/>
    <x v="5"/>
    <x v="14"/>
    <x v="36"/>
  </r>
  <r>
    <x v="355"/>
    <n v="6584"/>
    <n v="371"/>
    <n v="6"/>
    <x v="1"/>
    <x v="6"/>
    <x v="0"/>
    <x v="456"/>
    <x v="521"/>
    <x v="5"/>
    <x v="12"/>
    <x v="18"/>
  </r>
  <r>
    <x v="356"/>
    <n v="6389"/>
    <n v="734"/>
    <n v="1"/>
    <x v="2"/>
    <x v="7"/>
    <x v="2"/>
    <x v="19"/>
    <x v="522"/>
    <x v="4"/>
    <x v="8"/>
    <x v="12"/>
  </r>
  <r>
    <x v="357"/>
    <n v="9869"/>
    <n v="4299"/>
    <n v="12"/>
    <x v="0"/>
    <x v="1"/>
    <x v="1"/>
    <x v="150"/>
    <x v="523"/>
    <x v="3"/>
    <x v="9"/>
    <x v="45"/>
  </r>
  <r>
    <x v="357"/>
    <n v="9869"/>
    <n v="4299"/>
    <n v="12"/>
    <x v="0"/>
    <x v="1"/>
    <x v="1"/>
    <x v="382"/>
    <x v="524"/>
    <x v="2"/>
    <x v="2"/>
    <x v="16"/>
  </r>
  <r>
    <x v="358"/>
    <n v="655"/>
    <n v="297"/>
    <n v="4"/>
    <x v="1"/>
    <x v="6"/>
    <x v="1"/>
    <x v="457"/>
    <x v="525"/>
    <x v="2"/>
    <x v="2"/>
    <x v="26"/>
  </r>
  <r>
    <x v="358"/>
    <n v="655"/>
    <n v="297"/>
    <n v="4"/>
    <x v="1"/>
    <x v="6"/>
    <x v="1"/>
    <x v="458"/>
    <x v="526"/>
    <x v="0"/>
    <x v="3"/>
    <x v="6"/>
  </r>
  <r>
    <x v="359"/>
    <n v="798"/>
    <n v="308"/>
    <n v="10"/>
    <x v="0"/>
    <x v="10"/>
    <x v="1"/>
    <x v="459"/>
    <x v="527"/>
    <x v="2"/>
    <x v="2"/>
    <x v="54"/>
  </r>
  <r>
    <x v="359"/>
    <n v="798"/>
    <n v="308"/>
    <n v="10"/>
    <x v="0"/>
    <x v="10"/>
    <x v="1"/>
    <x v="460"/>
    <x v="528"/>
    <x v="5"/>
    <x v="14"/>
    <x v="23"/>
  </r>
  <r>
    <x v="359"/>
    <n v="7967"/>
    <n v="2504"/>
    <n v="13"/>
    <x v="0"/>
    <x v="1"/>
    <x v="2"/>
    <x v="459"/>
    <x v="527"/>
    <x v="2"/>
    <x v="2"/>
    <x v="54"/>
  </r>
  <r>
    <x v="359"/>
    <n v="7967"/>
    <n v="2504"/>
    <n v="13"/>
    <x v="0"/>
    <x v="1"/>
    <x v="2"/>
    <x v="460"/>
    <x v="528"/>
    <x v="5"/>
    <x v="14"/>
    <x v="23"/>
  </r>
  <r>
    <x v="360"/>
    <n v="3756"/>
    <n v="1318"/>
    <n v="5"/>
    <x v="2"/>
    <x v="4"/>
    <x v="0"/>
    <x v="461"/>
    <x v="529"/>
    <x v="0"/>
    <x v="0"/>
    <x v="42"/>
  </r>
  <r>
    <x v="361"/>
    <n v="5196"/>
    <n v="2477"/>
    <n v="1"/>
    <x v="1"/>
    <x v="6"/>
    <x v="0"/>
    <x v="462"/>
    <x v="530"/>
    <x v="4"/>
    <x v="10"/>
    <x v="13"/>
  </r>
  <r>
    <x v="361"/>
    <n v="6586"/>
    <n v="1794"/>
    <n v="19"/>
    <x v="2"/>
    <x v="11"/>
    <x v="1"/>
    <x v="462"/>
    <x v="530"/>
    <x v="4"/>
    <x v="10"/>
    <x v="13"/>
  </r>
  <r>
    <x v="362"/>
    <n v="6673"/>
    <n v="950"/>
    <n v="19"/>
    <x v="1"/>
    <x v="6"/>
    <x v="2"/>
    <x v="209"/>
    <x v="531"/>
    <x v="2"/>
    <x v="2"/>
    <x v="1"/>
  </r>
  <r>
    <x v="363"/>
    <n v="714"/>
    <n v="232"/>
    <n v="14"/>
    <x v="2"/>
    <x v="4"/>
    <x v="0"/>
    <x v="463"/>
    <x v="532"/>
    <x v="5"/>
    <x v="12"/>
    <x v="54"/>
  </r>
  <r>
    <x v="363"/>
    <n v="714"/>
    <n v="232"/>
    <n v="14"/>
    <x v="2"/>
    <x v="4"/>
    <x v="0"/>
    <x v="464"/>
    <x v="533"/>
    <x v="4"/>
    <x v="10"/>
    <x v="50"/>
  </r>
  <r>
    <x v="364"/>
    <n v="1083"/>
    <n v="501"/>
    <n v="6"/>
    <x v="1"/>
    <x v="2"/>
    <x v="4"/>
    <x v="465"/>
    <x v="534"/>
    <x v="4"/>
    <x v="10"/>
    <x v="51"/>
  </r>
  <r>
    <x v="365"/>
    <n v="2401"/>
    <n v="1163"/>
    <n v="10"/>
    <x v="2"/>
    <x v="11"/>
    <x v="0"/>
    <x v="230"/>
    <x v="535"/>
    <x v="5"/>
    <x v="14"/>
    <x v="23"/>
  </r>
  <r>
    <x v="365"/>
    <n v="2401"/>
    <n v="1163"/>
    <n v="10"/>
    <x v="2"/>
    <x v="11"/>
    <x v="0"/>
    <x v="466"/>
    <x v="536"/>
    <x v="3"/>
    <x v="4"/>
    <x v="32"/>
  </r>
  <r>
    <x v="365"/>
    <n v="2401"/>
    <n v="1163"/>
    <n v="10"/>
    <x v="2"/>
    <x v="11"/>
    <x v="0"/>
    <x v="467"/>
    <x v="537"/>
    <x v="2"/>
    <x v="7"/>
    <x v="36"/>
  </r>
  <r>
    <x v="365"/>
    <n v="1045"/>
    <n v="267"/>
    <n v="11"/>
    <x v="0"/>
    <x v="10"/>
    <x v="1"/>
    <x v="230"/>
    <x v="535"/>
    <x v="5"/>
    <x v="14"/>
    <x v="23"/>
  </r>
  <r>
    <x v="365"/>
    <n v="1045"/>
    <n v="267"/>
    <n v="11"/>
    <x v="0"/>
    <x v="10"/>
    <x v="1"/>
    <x v="466"/>
    <x v="536"/>
    <x v="3"/>
    <x v="4"/>
    <x v="32"/>
  </r>
  <r>
    <x v="365"/>
    <n v="1045"/>
    <n v="267"/>
    <n v="11"/>
    <x v="0"/>
    <x v="10"/>
    <x v="1"/>
    <x v="467"/>
    <x v="537"/>
    <x v="2"/>
    <x v="7"/>
    <x v="36"/>
  </r>
  <r>
    <x v="366"/>
    <n v="7806"/>
    <n v="1127"/>
    <n v="1"/>
    <x v="1"/>
    <x v="6"/>
    <x v="3"/>
    <x v="468"/>
    <x v="538"/>
    <x v="4"/>
    <x v="8"/>
    <x v="17"/>
  </r>
  <r>
    <x v="367"/>
    <n v="5263"/>
    <n v="1743"/>
    <n v="19"/>
    <x v="2"/>
    <x v="7"/>
    <x v="3"/>
    <x v="453"/>
    <x v="539"/>
    <x v="0"/>
    <x v="0"/>
    <x v="40"/>
  </r>
  <r>
    <x v="368"/>
    <n v="6147"/>
    <n v="2526"/>
    <n v="6"/>
    <x v="1"/>
    <x v="2"/>
    <x v="1"/>
    <x v="469"/>
    <x v="540"/>
    <x v="4"/>
    <x v="8"/>
    <x v="45"/>
  </r>
  <r>
    <x v="369"/>
    <n v="7484"/>
    <n v="2871"/>
    <n v="15"/>
    <x v="0"/>
    <x v="10"/>
    <x v="0"/>
    <x v="470"/>
    <x v="541"/>
    <x v="0"/>
    <x v="3"/>
    <x v="6"/>
  </r>
  <r>
    <x v="369"/>
    <n v="7484"/>
    <n v="2871"/>
    <n v="15"/>
    <x v="0"/>
    <x v="10"/>
    <x v="0"/>
    <x v="198"/>
    <x v="542"/>
    <x v="1"/>
    <x v="1"/>
    <x v="44"/>
  </r>
  <r>
    <x v="369"/>
    <n v="7700"/>
    <n v="2712"/>
    <n v="1"/>
    <x v="2"/>
    <x v="7"/>
    <x v="3"/>
    <x v="470"/>
    <x v="541"/>
    <x v="0"/>
    <x v="3"/>
    <x v="6"/>
  </r>
  <r>
    <x v="369"/>
    <n v="7700"/>
    <n v="2712"/>
    <n v="1"/>
    <x v="2"/>
    <x v="7"/>
    <x v="3"/>
    <x v="198"/>
    <x v="542"/>
    <x v="1"/>
    <x v="1"/>
    <x v="44"/>
  </r>
  <r>
    <x v="370"/>
    <n v="8537"/>
    <n v="3586"/>
    <n v="13"/>
    <x v="1"/>
    <x v="6"/>
    <x v="0"/>
    <x v="111"/>
    <x v="543"/>
    <x v="2"/>
    <x v="7"/>
    <x v="24"/>
  </r>
  <r>
    <x v="371"/>
    <n v="8858"/>
    <n v="3394"/>
    <n v="6"/>
    <x v="2"/>
    <x v="5"/>
    <x v="4"/>
    <x v="471"/>
    <x v="544"/>
    <x v="3"/>
    <x v="9"/>
    <x v="56"/>
  </r>
  <r>
    <x v="372"/>
    <n v="5313"/>
    <n v="2037"/>
    <n v="7"/>
    <x v="0"/>
    <x v="1"/>
    <x v="1"/>
    <x v="260"/>
    <x v="545"/>
    <x v="3"/>
    <x v="11"/>
    <x v="46"/>
  </r>
  <r>
    <x v="372"/>
    <n v="5313"/>
    <n v="2037"/>
    <n v="7"/>
    <x v="0"/>
    <x v="1"/>
    <x v="1"/>
    <x v="472"/>
    <x v="546"/>
    <x v="4"/>
    <x v="15"/>
    <x v="4"/>
  </r>
  <r>
    <x v="373"/>
    <n v="3281"/>
    <n v="471"/>
    <n v="7"/>
    <x v="2"/>
    <x v="7"/>
    <x v="2"/>
    <x v="473"/>
    <x v="547"/>
    <x v="3"/>
    <x v="4"/>
    <x v="16"/>
  </r>
  <r>
    <x v="373"/>
    <n v="3281"/>
    <n v="471"/>
    <n v="7"/>
    <x v="2"/>
    <x v="7"/>
    <x v="2"/>
    <x v="474"/>
    <x v="548"/>
    <x v="1"/>
    <x v="17"/>
    <x v="0"/>
  </r>
  <r>
    <x v="374"/>
    <n v="8681"/>
    <n v="2458"/>
    <n v="9"/>
    <x v="1"/>
    <x v="2"/>
    <x v="3"/>
    <x v="475"/>
    <x v="549"/>
    <x v="2"/>
    <x v="5"/>
    <x v="57"/>
  </r>
  <r>
    <x v="375"/>
    <n v="6195"/>
    <n v="1556"/>
    <n v="18"/>
    <x v="2"/>
    <x v="7"/>
    <x v="2"/>
    <x v="476"/>
    <x v="550"/>
    <x v="1"/>
    <x v="6"/>
    <x v="9"/>
  </r>
  <r>
    <x v="376"/>
    <n v="3877"/>
    <n v="481"/>
    <n v="16"/>
    <x v="2"/>
    <x v="5"/>
    <x v="1"/>
    <x v="477"/>
    <x v="551"/>
    <x v="2"/>
    <x v="7"/>
    <x v="17"/>
  </r>
  <r>
    <x v="376"/>
    <n v="3877"/>
    <n v="481"/>
    <n v="16"/>
    <x v="2"/>
    <x v="5"/>
    <x v="1"/>
    <x v="478"/>
    <x v="552"/>
    <x v="2"/>
    <x v="5"/>
    <x v="26"/>
  </r>
  <r>
    <x v="377"/>
    <n v="9369"/>
    <n v="3297"/>
    <n v="6"/>
    <x v="0"/>
    <x v="1"/>
    <x v="1"/>
    <x v="479"/>
    <x v="553"/>
    <x v="0"/>
    <x v="3"/>
    <x v="48"/>
  </r>
  <r>
    <x v="377"/>
    <n v="9369"/>
    <n v="3297"/>
    <n v="6"/>
    <x v="0"/>
    <x v="1"/>
    <x v="1"/>
    <x v="480"/>
    <x v="554"/>
    <x v="2"/>
    <x v="5"/>
    <x v="52"/>
  </r>
  <r>
    <x v="377"/>
    <n v="8680"/>
    <n v="4068"/>
    <n v="20"/>
    <x v="0"/>
    <x v="1"/>
    <x v="3"/>
    <x v="479"/>
    <x v="553"/>
    <x v="0"/>
    <x v="3"/>
    <x v="48"/>
  </r>
  <r>
    <x v="377"/>
    <n v="8680"/>
    <n v="4068"/>
    <n v="20"/>
    <x v="0"/>
    <x v="1"/>
    <x v="3"/>
    <x v="480"/>
    <x v="554"/>
    <x v="2"/>
    <x v="5"/>
    <x v="52"/>
  </r>
  <r>
    <x v="377"/>
    <n v="3067"/>
    <n v="1475"/>
    <n v="8"/>
    <x v="0"/>
    <x v="3"/>
    <x v="0"/>
    <x v="479"/>
    <x v="553"/>
    <x v="0"/>
    <x v="3"/>
    <x v="48"/>
  </r>
  <r>
    <x v="377"/>
    <n v="3067"/>
    <n v="1475"/>
    <n v="8"/>
    <x v="0"/>
    <x v="3"/>
    <x v="0"/>
    <x v="480"/>
    <x v="554"/>
    <x v="2"/>
    <x v="5"/>
    <x v="52"/>
  </r>
  <r>
    <x v="378"/>
    <n v="9002"/>
    <n v="4197"/>
    <n v="2"/>
    <x v="1"/>
    <x v="6"/>
    <x v="2"/>
    <x v="418"/>
    <x v="555"/>
    <x v="5"/>
    <x v="13"/>
    <x v="52"/>
  </r>
  <r>
    <x v="378"/>
    <n v="9002"/>
    <n v="4197"/>
    <n v="2"/>
    <x v="1"/>
    <x v="6"/>
    <x v="2"/>
    <x v="481"/>
    <x v="556"/>
    <x v="5"/>
    <x v="12"/>
    <x v="34"/>
  </r>
  <r>
    <x v="379"/>
    <n v="7105"/>
    <n v="2782"/>
    <n v="19"/>
    <x v="1"/>
    <x v="2"/>
    <x v="4"/>
    <x v="482"/>
    <x v="557"/>
    <x v="5"/>
    <x v="12"/>
    <x v="13"/>
  </r>
  <r>
    <x v="380"/>
    <n v="5317"/>
    <n v="1345"/>
    <n v="18"/>
    <x v="2"/>
    <x v="5"/>
    <x v="1"/>
    <x v="17"/>
    <x v="558"/>
    <x v="5"/>
    <x v="12"/>
    <x v="14"/>
  </r>
  <r>
    <x v="380"/>
    <n v="5317"/>
    <n v="1345"/>
    <n v="18"/>
    <x v="2"/>
    <x v="5"/>
    <x v="1"/>
    <x v="135"/>
    <x v="559"/>
    <x v="0"/>
    <x v="3"/>
    <x v="28"/>
  </r>
  <r>
    <x v="380"/>
    <n v="5317"/>
    <n v="1345"/>
    <n v="18"/>
    <x v="2"/>
    <x v="5"/>
    <x v="1"/>
    <x v="483"/>
    <x v="560"/>
    <x v="3"/>
    <x v="11"/>
    <x v="46"/>
  </r>
  <r>
    <x v="380"/>
    <n v="6304"/>
    <n v="766"/>
    <n v="14"/>
    <x v="2"/>
    <x v="4"/>
    <x v="2"/>
    <x v="17"/>
    <x v="558"/>
    <x v="5"/>
    <x v="12"/>
    <x v="14"/>
  </r>
  <r>
    <x v="380"/>
    <n v="6304"/>
    <n v="766"/>
    <n v="14"/>
    <x v="2"/>
    <x v="4"/>
    <x v="2"/>
    <x v="135"/>
    <x v="559"/>
    <x v="0"/>
    <x v="3"/>
    <x v="28"/>
  </r>
  <r>
    <x v="380"/>
    <n v="6304"/>
    <n v="766"/>
    <n v="14"/>
    <x v="2"/>
    <x v="4"/>
    <x v="2"/>
    <x v="483"/>
    <x v="560"/>
    <x v="3"/>
    <x v="11"/>
    <x v="46"/>
  </r>
  <r>
    <x v="381"/>
    <n v="9565"/>
    <n v="1691"/>
    <n v="3"/>
    <x v="1"/>
    <x v="8"/>
    <x v="1"/>
    <x v="71"/>
    <x v="561"/>
    <x v="1"/>
    <x v="6"/>
    <x v="41"/>
  </r>
  <r>
    <x v="381"/>
    <n v="8245"/>
    <n v="324"/>
    <n v="11"/>
    <x v="1"/>
    <x v="8"/>
    <x v="2"/>
    <x v="71"/>
    <x v="561"/>
    <x v="1"/>
    <x v="6"/>
    <x v="41"/>
  </r>
  <r>
    <x v="382"/>
    <n v="1592"/>
    <n v="480"/>
    <n v="13"/>
    <x v="0"/>
    <x v="3"/>
    <x v="1"/>
    <x v="138"/>
    <x v="562"/>
    <x v="5"/>
    <x v="14"/>
    <x v="12"/>
  </r>
  <r>
    <x v="383"/>
    <n v="8400"/>
    <n v="267"/>
    <n v="5"/>
    <x v="0"/>
    <x v="10"/>
    <x v="1"/>
    <x v="484"/>
    <x v="563"/>
    <x v="5"/>
    <x v="12"/>
    <x v="56"/>
  </r>
  <r>
    <x v="383"/>
    <n v="4963"/>
    <n v="1254"/>
    <n v="15"/>
    <x v="1"/>
    <x v="8"/>
    <x v="2"/>
    <x v="484"/>
    <x v="563"/>
    <x v="5"/>
    <x v="12"/>
    <x v="56"/>
  </r>
  <r>
    <x v="384"/>
    <n v="2472"/>
    <n v="211"/>
    <n v="5"/>
    <x v="0"/>
    <x v="1"/>
    <x v="4"/>
    <x v="317"/>
    <x v="564"/>
    <x v="3"/>
    <x v="9"/>
    <x v="53"/>
  </r>
  <r>
    <x v="385"/>
    <n v="9132"/>
    <n v="3096"/>
    <n v="14"/>
    <x v="2"/>
    <x v="5"/>
    <x v="1"/>
    <x v="20"/>
    <x v="565"/>
    <x v="0"/>
    <x v="16"/>
    <x v="16"/>
  </r>
  <r>
    <x v="386"/>
    <n v="8305"/>
    <n v="1577"/>
    <n v="6"/>
    <x v="1"/>
    <x v="9"/>
    <x v="1"/>
    <x v="485"/>
    <x v="566"/>
    <x v="2"/>
    <x v="7"/>
    <x v="50"/>
  </r>
  <r>
    <x v="387"/>
    <n v="1010"/>
    <n v="58"/>
    <n v="19"/>
    <x v="0"/>
    <x v="0"/>
    <x v="4"/>
    <x v="486"/>
    <x v="567"/>
    <x v="0"/>
    <x v="16"/>
    <x v="30"/>
  </r>
  <r>
    <x v="388"/>
    <n v="4544"/>
    <n v="1726"/>
    <n v="9"/>
    <x v="0"/>
    <x v="10"/>
    <x v="2"/>
    <x v="357"/>
    <x v="568"/>
    <x v="4"/>
    <x v="8"/>
    <x v="19"/>
  </r>
  <r>
    <x v="388"/>
    <n v="5900"/>
    <n v="1738"/>
    <n v="20"/>
    <x v="0"/>
    <x v="10"/>
    <x v="0"/>
    <x v="357"/>
    <x v="568"/>
    <x v="4"/>
    <x v="8"/>
    <x v="19"/>
  </r>
  <r>
    <x v="389"/>
    <n v="8861"/>
    <n v="3381"/>
    <n v="19"/>
    <x v="1"/>
    <x v="6"/>
    <x v="3"/>
    <x v="416"/>
    <x v="569"/>
    <x v="3"/>
    <x v="9"/>
    <x v="18"/>
  </r>
  <r>
    <x v="390"/>
    <n v="8158"/>
    <n v="2052"/>
    <n v="13"/>
    <x v="0"/>
    <x v="10"/>
    <x v="1"/>
    <x v="487"/>
    <x v="570"/>
    <x v="5"/>
    <x v="13"/>
    <x v="57"/>
  </r>
  <r>
    <x v="391"/>
    <n v="3411"/>
    <n v="1704"/>
    <n v="14"/>
    <x v="1"/>
    <x v="2"/>
    <x v="0"/>
    <x v="488"/>
    <x v="571"/>
    <x v="3"/>
    <x v="4"/>
    <x v="52"/>
  </r>
  <r>
    <x v="392"/>
    <n v="9406"/>
    <n v="1137"/>
    <n v="16"/>
    <x v="1"/>
    <x v="6"/>
    <x v="0"/>
    <x v="489"/>
    <x v="572"/>
    <x v="4"/>
    <x v="15"/>
    <x v="4"/>
  </r>
  <r>
    <x v="392"/>
    <n v="1156"/>
    <n v="74"/>
    <n v="15"/>
    <x v="0"/>
    <x v="1"/>
    <x v="2"/>
    <x v="489"/>
    <x v="572"/>
    <x v="4"/>
    <x v="15"/>
    <x v="4"/>
  </r>
  <r>
    <x v="393"/>
    <n v="5354"/>
    <n v="743"/>
    <n v="10"/>
    <x v="2"/>
    <x v="11"/>
    <x v="0"/>
    <x v="490"/>
    <x v="573"/>
    <x v="1"/>
    <x v="6"/>
    <x v="4"/>
  </r>
  <r>
    <x v="394"/>
    <n v="8780"/>
    <n v="3430"/>
    <n v="4"/>
    <x v="0"/>
    <x v="0"/>
    <x v="3"/>
    <x v="491"/>
    <x v="574"/>
    <x v="4"/>
    <x v="10"/>
    <x v="41"/>
  </r>
  <r>
    <x v="394"/>
    <n v="8780"/>
    <n v="3430"/>
    <n v="4"/>
    <x v="0"/>
    <x v="0"/>
    <x v="3"/>
    <x v="492"/>
    <x v="575"/>
    <x v="4"/>
    <x v="10"/>
    <x v="17"/>
  </r>
  <r>
    <x v="395"/>
    <n v="6783"/>
    <n v="3306"/>
    <n v="8"/>
    <x v="2"/>
    <x v="7"/>
    <x v="1"/>
    <x v="493"/>
    <x v="576"/>
    <x v="5"/>
    <x v="12"/>
    <x v="32"/>
  </r>
  <r>
    <x v="396"/>
    <n v="1778"/>
    <n v="285"/>
    <n v="4"/>
    <x v="1"/>
    <x v="2"/>
    <x v="3"/>
    <x v="494"/>
    <x v="577"/>
    <x v="2"/>
    <x v="5"/>
    <x v="60"/>
  </r>
  <r>
    <x v="397"/>
    <n v="9399"/>
    <n v="1949"/>
    <n v="12"/>
    <x v="0"/>
    <x v="1"/>
    <x v="0"/>
    <x v="52"/>
    <x v="578"/>
    <x v="2"/>
    <x v="7"/>
    <x v="37"/>
  </r>
  <r>
    <x v="397"/>
    <n v="7957"/>
    <n v="965"/>
    <n v="4"/>
    <x v="2"/>
    <x v="7"/>
    <x v="3"/>
    <x v="52"/>
    <x v="578"/>
    <x v="2"/>
    <x v="7"/>
    <x v="37"/>
  </r>
  <r>
    <x v="398"/>
    <n v="1638"/>
    <n v="661"/>
    <n v="13"/>
    <x v="2"/>
    <x v="5"/>
    <x v="2"/>
    <x v="495"/>
    <x v="579"/>
    <x v="1"/>
    <x v="6"/>
    <x v="6"/>
  </r>
  <r>
    <x v="399"/>
    <n v="1786"/>
    <n v="224"/>
    <n v="4"/>
    <x v="2"/>
    <x v="4"/>
    <x v="4"/>
    <x v="51"/>
    <x v="580"/>
    <x v="4"/>
    <x v="8"/>
    <x v="36"/>
  </r>
  <r>
    <x v="400"/>
    <n v="4751"/>
    <n v="781"/>
    <n v="9"/>
    <x v="1"/>
    <x v="8"/>
    <x v="2"/>
    <x v="496"/>
    <x v="581"/>
    <x v="2"/>
    <x v="2"/>
    <x v="17"/>
  </r>
  <r>
    <x v="401"/>
    <n v="8979"/>
    <n v="4477"/>
    <n v="4"/>
    <x v="1"/>
    <x v="8"/>
    <x v="3"/>
    <x v="497"/>
    <x v="582"/>
    <x v="1"/>
    <x v="1"/>
    <x v="38"/>
  </r>
  <r>
    <x v="402"/>
    <n v="2727"/>
    <n v="663"/>
    <n v="8"/>
    <x v="0"/>
    <x v="10"/>
    <x v="3"/>
    <x v="498"/>
    <x v="583"/>
    <x v="0"/>
    <x v="0"/>
    <x v="5"/>
  </r>
  <r>
    <x v="403"/>
    <n v="1093"/>
    <n v="397"/>
    <n v="17"/>
    <x v="0"/>
    <x v="1"/>
    <x v="3"/>
    <x v="499"/>
    <x v="584"/>
    <x v="1"/>
    <x v="17"/>
    <x v="55"/>
  </r>
  <r>
    <x v="403"/>
    <n v="1093"/>
    <n v="397"/>
    <n v="17"/>
    <x v="0"/>
    <x v="1"/>
    <x v="3"/>
    <x v="500"/>
    <x v="585"/>
    <x v="2"/>
    <x v="2"/>
    <x v="31"/>
  </r>
  <r>
    <x v="403"/>
    <n v="1093"/>
    <n v="397"/>
    <n v="17"/>
    <x v="0"/>
    <x v="1"/>
    <x v="3"/>
    <x v="501"/>
    <x v="586"/>
    <x v="5"/>
    <x v="12"/>
    <x v="26"/>
  </r>
  <r>
    <x v="403"/>
    <n v="2636"/>
    <n v="88"/>
    <n v="11"/>
    <x v="1"/>
    <x v="8"/>
    <x v="1"/>
    <x v="499"/>
    <x v="584"/>
    <x v="1"/>
    <x v="17"/>
    <x v="55"/>
  </r>
  <r>
    <x v="403"/>
    <n v="2636"/>
    <n v="88"/>
    <n v="11"/>
    <x v="1"/>
    <x v="8"/>
    <x v="1"/>
    <x v="500"/>
    <x v="585"/>
    <x v="2"/>
    <x v="2"/>
    <x v="31"/>
  </r>
  <r>
    <x v="403"/>
    <n v="2636"/>
    <n v="88"/>
    <n v="11"/>
    <x v="1"/>
    <x v="8"/>
    <x v="1"/>
    <x v="501"/>
    <x v="586"/>
    <x v="5"/>
    <x v="12"/>
    <x v="26"/>
  </r>
  <r>
    <x v="404"/>
    <n v="7344"/>
    <n v="2251"/>
    <n v="7"/>
    <x v="0"/>
    <x v="0"/>
    <x v="1"/>
    <x v="502"/>
    <x v="587"/>
    <x v="0"/>
    <x v="0"/>
    <x v="26"/>
  </r>
  <r>
    <x v="404"/>
    <n v="7306"/>
    <n v="1547"/>
    <n v="3"/>
    <x v="1"/>
    <x v="8"/>
    <x v="4"/>
    <x v="502"/>
    <x v="587"/>
    <x v="0"/>
    <x v="0"/>
    <x v="26"/>
  </r>
  <r>
    <x v="404"/>
    <n v="5832"/>
    <n v="2588"/>
    <n v="10"/>
    <x v="0"/>
    <x v="1"/>
    <x v="4"/>
    <x v="502"/>
    <x v="587"/>
    <x v="0"/>
    <x v="0"/>
    <x v="26"/>
  </r>
  <r>
    <x v="405"/>
    <n v="8572"/>
    <n v="2041"/>
    <n v="8"/>
    <x v="2"/>
    <x v="4"/>
    <x v="2"/>
    <x v="416"/>
    <x v="588"/>
    <x v="1"/>
    <x v="6"/>
    <x v="18"/>
  </r>
  <r>
    <x v="405"/>
    <n v="8572"/>
    <n v="2041"/>
    <n v="8"/>
    <x v="2"/>
    <x v="4"/>
    <x v="2"/>
    <x v="503"/>
    <x v="589"/>
    <x v="1"/>
    <x v="6"/>
    <x v="17"/>
  </r>
  <r>
    <x v="405"/>
    <n v="8572"/>
    <n v="2041"/>
    <n v="8"/>
    <x v="2"/>
    <x v="4"/>
    <x v="2"/>
    <x v="504"/>
    <x v="590"/>
    <x v="3"/>
    <x v="9"/>
    <x v="20"/>
  </r>
  <r>
    <x v="405"/>
    <n v="8059"/>
    <n v="1834"/>
    <n v="10"/>
    <x v="0"/>
    <x v="1"/>
    <x v="3"/>
    <x v="416"/>
    <x v="588"/>
    <x v="1"/>
    <x v="6"/>
    <x v="18"/>
  </r>
  <r>
    <x v="405"/>
    <n v="8059"/>
    <n v="1834"/>
    <n v="10"/>
    <x v="0"/>
    <x v="1"/>
    <x v="3"/>
    <x v="503"/>
    <x v="589"/>
    <x v="1"/>
    <x v="6"/>
    <x v="17"/>
  </r>
  <r>
    <x v="405"/>
    <n v="8059"/>
    <n v="1834"/>
    <n v="10"/>
    <x v="0"/>
    <x v="1"/>
    <x v="3"/>
    <x v="504"/>
    <x v="590"/>
    <x v="3"/>
    <x v="9"/>
    <x v="20"/>
  </r>
  <r>
    <x v="406"/>
    <n v="3661"/>
    <n v="436"/>
    <n v="13"/>
    <x v="2"/>
    <x v="7"/>
    <x v="2"/>
    <x v="505"/>
    <x v="591"/>
    <x v="4"/>
    <x v="10"/>
    <x v="54"/>
  </r>
  <r>
    <x v="407"/>
    <n v="2451"/>
    <n v="342"/>
    <n v="8"/>
    <x v="1"/>
    <x v="8"/>
    <x v="2"/>
    <x v="506"/>
    <x v="592"/>
    <x v="3"/>
    <x v="4"/>
    <x v="43"/>
  </r>
  <r>
    <x v="407"/>
    <n v="2451"/>
    <n v="342"/>
    <n v="8"/>
    <x v="1"/>
    <x v="8"/>
    <x v="2"/>
    <x v="50"/>
    <x v="593"/>
    <x v="5"/>
    <x v="13"/>
    <x v="35"/>
  </r>
  <r>
    <x v="407"/>
    <n v="2451"/>
    <n v="342"/>
    <n v="8"/>
    <x v="1"/>
    <x v="8"/>
    <x v="2"/>
    <x v="507"/>
    <x v="594"/>
    <x v="4"/>
    <x v="15"/>
    <x v="41"/>
  </r>
  <r>
    <x v="408"/>
    <n v="7067"/>
    <n v="1943"/>
    <n v="16"/>
    <x v="2"/>
    <x v="4"/>
    <x v="3"/>
    <x v="508"/>
    <x v="595"/>
    <x v="3"/>
    <x v="11"/>
    <x v="25"/>
  </r>
  <r>
    <x v="409"/>
    <n v="4307"/>
    <n v="615"/>
    <n v="3"/>
    <x v="0"/>
    <x v="0"/>
    <x v="0"/>
    <x v="509"/>
    <x v="596"/>
    <x v="2"/>
    <x v="5"/>
    <x v="55"/>
  </r>
  <r>
    <x v="409"/>
    <n v="4307"/>
    <n v="615"/>
    <n v="3"/>
    <x v="0"/>
    <x v="0"/>
    <x v="0"/>
    <x v="448"/>
    <x v="597"/>
    <x v="1"/>
    <x v="6"/>
    <x v="11"/>
  </r>
  <r>
    <x v="409"/>
    <n v="5694"/>
    <n v="1134"/>
    <n v="5"/>
    <x v="2"/>
    <x v="5"/>
    <x v="2"/>
    <x v="509"/>
    <x v="596"/>
    <x v="2"/>
    <x v="5"/>
    <x v="55"/>
  </r>
  <r>
    <x v="409"/>
    <n v="5694"/>
    <n v="1134"/>
    <n v="5"/>
    <x v="2"/>
    <x v="5"/>
    <x v="2"/>
    <x v="448"/>
    <x v="597"/>
    <x v="1"/>
    <x v="6"/>
    <x v="11"/>
  </r>
  <r>
    <x v="410"/>
    <n v="962"/>
    <n v="298"/>
    <n v="18"/>
    <x v="1"/>
    <x v="9"/>
    <x v="3"/>
    <x v="510"/>
    <x v="598"/>
    <x v="1"/>
    <x v="6"/>
    <x v="58"/>
  </r>
  <r>
    <x v="411"/>
    <n v="2995"/>
    <n v="220"/>
    <n v="14"/>
    <x v="2"/>
    <x v="11"/>
    <x v="3"/>
    <x v="511"/>
    <x v="599"/>
    <x v="2"/>
    <x v="2"/>
    <x v="31"/>
  </r>
  <r>
    <x v="411"/>
    <n v="2047"/>
    <n v="914"/>
    <n v="5"/>
    <x v="1"/>
    <x v="6"/>
    <x v="1"/>
    <x v="511"/>
    <x v="599"/>
    <x v="2"/>
    <x v="2"/>
    <x v="31"/>
  </r>
  <r>
    <x v="412"/>
    <n v="2078"/>
    <n v="612"/>
    <n v="6"/>
    <x v="0"/>
    <x v="3"/>
    <x v="4"/>
    <x v="512"/>
    <x v="600"/>
    <x v="4"/>
    <x v="10"/>
    <x v="12"/>
  </r>
  <r>
    <x v="413"/>
    <n v="2737"/>
    <n v="1253"/>
    <n v="3"/>
    <x v="0"/>
    <x v="1"/>
    <x v="2"/>
    <x v="513"/>
    <x v="601"/>
    <x v="2"/>
    <x v="5"/>
    <x v="27"/>
  </r>
  <r>
    <x v="414"/>
    <n v="8194"/>
    <n v="2881"/>
    <n v="6"/>
    <x v="1"/>
    <x v="8"/>
    <x v="1"/>
    <x v="196"/>
    <x v="602"/>
    <x v="4"/>
    <x v="15"/>
    <x v="2"/>
  </r>
  <r>
    <x v="415"/>
    <n v="9914"/>
    <n v="3858"/>
    <n v="16"/>
    <x v="2"/>
    <x v="7"/>
    <x v="3"/>
    <x v="514"/>
    <x v="603"/>
    <x v="2"/>
    <x v="2"/>
    <x v="33"/>
  </r>
  <r>
    <x v="415"/>
    <n v="9914"/>
    <n v="3858"/>
    <n v="16"/>
    <x v="2"/>
    <x v="7"/>
    <x v="3"/>
    <x v="515"/>
    <x v="604"/>
    <x v="2"/>
    <x v="7"/>
    <x v="47"/>
  </r>
  <r>
    <x v="415"/>
    <n v="5470"/>
    <n v="292"/>
    <n v="7"/>
    <x v="1"/>
    <x v="2"/>
    <x v="1"/>
    <x v="514"/>
    <x v="603"/>
    <x v="2"/>
    <x v="2"/>
    <x v="33"/>
  </r>
  <r>
    <x v="415"/>
    <n v="5470"/>
    <n v="292"/>
    <n v="7"/>
    <x v="1"/>
    <x v="2"/>
    <x v="1"/>
    <x v="515"/>
    <x v="604"/>
    <x v="2"/>
    <x v="7"/>
    <x v="47"/>
  </r>
  <r>
    <x v="415"/>
    <n v="1496"/>
    <n v="662"/>
    <n v="17"/>
    <x v="2"/>
    <x v="11"/>
    <x v="0"/>
    <x v="514"/>
    <x v="603"/>
    <x v="2"/>
    <x v="2"/>
    <x v="33"/>
  </r>
  <r>
    <x v="415"/>
    <n v="1496"/>
    <n v="662"/>
    <n v="17"/>
    <x v="2"/>
    <x v="11"/>
    <x v="0"/>
    <x v="515"/>
    <x v="604"/>
    <x v="2"/>
    <x v="7"/>
    <x v="47"/>
  </r>
  <r>
    <x v="416"/>
    <n v="3228"/>
    <n v="476"/>
    <n v="9"/>
    <x v="1"/>
    <x v="8"/>
    <x v="4"/>
    <x v="516"/>
    <x v="605"/>
    <x v="2"/>
    <x v="5"/>
    <x v="24"/>
  </r>
  <r>
    <x v="417"/>
    <n v="3918"/>
    <n v="749"/>
    <n v="8"/>
    <x v="0"/>
    <x v="3"/>
    <x v="3"/>
    <x v="517"/>
    <x v="606"/>
    <x v="3"/>
    <x v="9"/>
    <x v="23"/>
  </r>
  <r>
    <x v="417"/>
    <n v="3918"/>
    <n v="749"/>
    <n v="8"/>
    <x v="0"/>
    <x v="3"/>
    <x v="3"/>
    <x v="222"/>
    <x v="607"/>
    <x v="4"/>
    <x v="15"/>
    <x v="8"/>
  </r>
  <r>
    <x v="418"/>
    <n v="9921"/>
    <n v="1451"/>
    <n v="15"/>
    <x v="2"/>
    <x v="7"/>
    <x v="2"/>
    <x v="518"/>
    <x v="608"/>
    <x v="1"/>
    <x v="1"/>
    <x v="27"/>
  </r>
  <r>
    <x v="419"/>
    <n v="9694"/>
    <n v="4361"/>
    <n v="1"/>
    <x v="2"/>
    <x v="5"/>
    <x v="2"/>
    <x v="519"/>
    <x v="609"/>
    <x v="1"/>
    <x v="6"/>
    <x v="6"/>
  </r>
  <r>
    <x v="420"/>
    <n v="5028"/>
    <n v="1553"/>
    <n v="13"/>
    <x v="1"/>
    <x v="8"/>
    <x v="2"/>
    <x v="8"/>
    <x v="610"/>
    <x v="0"/>
    <x v="16"/>
    <x v="8"/>
  </r>
  <r>
    <x v="421"/>
    <n v="594"/>
    <n v="67"/>
    <n v="19"/>
    <x v="1"/>
    <x v="8"/>
    <x v="1"/>
    <x v="520"/>
    <x v="611"/>
    <x v="2"/>
    <x v="2"/>
    <x v="48"/>
  </r>
  <r>
    <x v="421"/>
    <n v="594"/>
    <n v="67"/>
    <n v="19"/>
    <x v="1"/>
    <x v="8"/>
    <x v="1"/>
    <x v="521"/>
    <x v="612"/>
    <x v="0"/>
    <x v="0"/>
    <x v="10"/>
  </r>
  <r>
    <x v="421"/>
    <n v="594"/>
    <n v="67"/>
    <n v="19"/>
    <x v="1"/>
    <x v="8"/>
    <x v="1"/>
    <x v="522"/>
    <x v="613"/>
    <x v="4"/>
    <x v="10"/>
    <x v="3"/>
  </r>
  <r>
    <x v="422"/>
    <n v="5954"/>
    <n v="2618"/>
    <n v="11"/>
    <x v="2"/>
    <x v="4"/>
    <x v="4"/>
    <x v="244"/>
    <x v="614"/>
    <x v="5"/>
    <x v="13"/>
    <x v="55"/>
  </r>
  <r>
    <x v="423"/>
    <n v="3518"/>
    <n v="1051"/>
    <n v="3"/>
    <x v="2"/>
    <x v="11"/>
    <x v="0"/>
    <x v="523"/>
    <x v="615"/>
    <x v="3"/>
    <x v="11"/>
    <x v="57"/>
  </r>
  <r>
    <x v="423"/>
    <n v="4157"/>
    <n v="1874"/>
    <n v="8"/>
    <x v="0"/>
    <x v="3"/>
    <x v="2"/>
    <x v="523"/>
    <x v="615"/>
    <x v="3"/>
    <x v="11"/>
    <x v="57"/>
  </r>
  <r>
    <x v="424"/>
    <n v="3747"/>
    <n v="410"/>
    <n v="5"/>
    <x v="1"/>
    <x v="6"/>
    <x v="3"/>
    <x v="524"/>
    <x v="616"/>
    <x v="1"/>
    <x v="6"/>
    <x v="60"/>
  </r>
  <r>
    <x v="424"/>
    <n v="3747"/>
    <n v="410"/>
    <n v="5"/>
    <x v="1"/>
    <x v="6"/>
    <x v="3"/>
    <x v="174"/>
    <x v="617"/>
    <x v="2"/>
    <x v="2"/>
    <x v="29"/>
  </r>
  <r>
    <x v="424"/>
    <n v="3747"/>
    <n v="410"/>
    <n v="5"/>
    <x v="1"/>
    <x v="6"/>
    <x v="3"/>
    <x v="499"/>
    <x v="618"/>
    <x v="5"/>
    <x v="12"/>
    <x v="55"/>
  </r>
  <r>
    <x v="424"/>
    <n v="3747"/>
    <n v="410"/>
    <n v="5"/>
    <x v="1"/>
    <x v="6"/>
    <x v="3"/>
    <x v="525"/>
    <x v="619"/>
    <x v="1"/>
    <x v="1"/>
    <x v="14"/>
  </r>
  <r>
    <x v="424"/>
    <n v="3747"/>
    <n v="410"/>
    <n v="5"/>
    <x v="1"/>
    <x v="6"/>
    <x v="3"/>
    <x v="526"/>
    <x v="620"/>
    <x v="3"/>
    <x v="4"/>
    <x v="2"/>
  </r>
  <r>
    <x v="424"/>
    <n v="3194"/>
    <n v="534"/>
    <n v="4"/>
    <x v="1"/>
    <x v="9"/>
    <x v="0"/>
    <x v="524"/>
    <x v="616"/>
    <x v="1"/>
    <x v="6"/>
    <x v="60"/>
  </r>
  <r>
    <x v="424"/>
    <n v="3194"/>
    <n v="534"/>
    <n v="4"/>
    <x v="1"/>
    <x v="9"/>
    <x v="0"/>
    <x v="174"/>
    <x v="617"/>
    <x v="2"/>
    <x v="2"/>
    <x v="29"/>
  </r>
  <r>
    <x v="424"/>
    <n v="3194"/>
    <n v="534"/>
    <n v="4"/>
    <x v="1"/>
    <x v="9"/>
    <x v="0"/>
    <x v="499"/>
    <x v="618"/>
    <x v="5"/>
    <x v="12"/>
    <x v="55"/>
  </r>
  <r>
    <x v="424"/>
    <n v="3194"/>
    <n v="534"/>
    <n v="4"/>
    <x v="1"/>
    <x v="9"/>
    <x v="0"/>
    <x v="525"/>
    <x v="619"/>
    <x v="1"/>
    <x v="1"/>
    <x v="14"/>
  </r>
  <r>
    <x v="424"/>
    <n v="3194"/>
    <n v="534"/>
    <n v="4"/>
    <x v="1"/>
    <x v="9"/>
    <x v="0"/>
    <x v="526"/>
    <x v="620"/>
    <x v="3"/>
    <x v="4"/>
    <x v="2"/>
  </r>
  <r>
    <x v="425"/>
    <n v="8548"/>
    <n v="2305"/>
    <n v="1"/>
    <x v="1"/>
    <x v="9"/>
    <x v="4"/>
    <x v="18"/>
    <x v="621"/>
    <x v="0"/>
    <x v="16"/>
    <x v="15"/>
  </r>
  <r>
    <x v="426"/>
    <n v="6089"/>
    <n v="139"/>
    <n v="19"/>
    <x v="2"/>
    <x v="4"/>
    <x v="1"/>
    <x v="527"/>
    <x v="622"/>
    <x v="5"/>
    <x v="13"/>
    <x v="50"/>
  </r>
  <r>
    <x v="426"/>
    <n v="6089"/>
    <n v="139"/>
    <n v="19"/>
    <x v="2"/>
    <x v="4"/>
    <x v="1"/>
    <x v="67"/>
    <x v="623"/>
    <x v="5"/>
    <x v="14"/>
    <x v="39"/>
  </r>
  <r>
    <x v="426"/>
    <n v="6089"/>
    <n v="139"/>
    <n v="19"/>
    <x v="2"/>
    <x v="4"/>
    <x v="1"/>
    <x v="528"/>
    <x v="624"/>
    <x v="1"/>
    <x v="1"/>
    <x v="28"/>
  </r>
  <r>
    <x v="426"/>
    <n v="2586"/>
    <n v="800"/>
    <n v="16"/>
    <x v="2"/>
    <x v="4"/>
    <x v="0"/>
    <x v="527"/>
    <x v="622"/>
    <x v="5"/>
    <x v="13"/>
    <x v="50"/>
  </r>
  <r>
    <x v="426"/>
    <n v="2586"/>
    <n v="800"/>
    <n v="16"/>
    <x v="2"/>
    <x v="4"/>
    <x v="0"/>
    <x v="67"/>
    <x v="623"/>
    <x v="5"/>
    <x v="14"/>
    <x v="39"/>
  </r>
  <r>
    <x v="426"/>
    <n v="2586"/>
    <n v="800"/>
    <n v="16"/>
    <x v="2"/>
    <x v="4"/>
    <x v="0"/>
    <x v="528"/>
    <x v="624"/>
    <x v="1"/>
    <x v="1"/>
    <x v="28"/>
  </r>
  <r>
    <x v="426"/>
    <n v="3757"/>
    <n v="1626"/>
    <n v="9"/>
    <x v="1"/>
    <x v="8"/>
    <x v="0"/>
    <x v="527"/>
    <x v="622"/>
    <x v="5"/>
    <x v="13"/>
    <x v="50"/>
  </r>
  <r>
    <x v="426"/>
    <n v="3757"/>
    <n v="1626"/>
    <n v="9"/>
    <x v="1"/>
    <x v="8"/>
    <x v="0"/>
    <x v="67"/>
    <x v="623"/>
    <x v="5"/>
    <x v="14"/>
    <x v="39"/>
  </r>
  <r>
    <x v="426"/>
    <n v="3757"/>
    <n v="1626"/>
    <n v="9"/>
    <x v="1"/>
    <x v="8"/>
    <x v="0"/>
    <x v="528"/>
    <x v="624"/>
    <x v="1"/>
    <x v="1"/>
    <x v="28"/>
  </r>
  <r>
    <x v="427"/>
    <n v="5193"/>
    <n v="2530"/>
    <n v="5"/>
    <x v="2"/>
    <x v="7"/>
    <x v="1"/>
    <x v="472"/>
    <x v="625"/>
    <x v="3"/>
    <x v="9"/>
    <x v="4"/>
  </r>
  <r>
    <x v="427"/>
    <n v="5193"/>
    <n v="2530"/>
    <n v="5"/>
    <x v="2"/>
    <x v="7"/>
    <x v="1"/>
    <x v="529"/>
    <x v="626"/>
    <x v="0"/>
    <x v="0"/>
    <x v="1"/>
  </r>
  <r>
    <x v="428"/>
    <n v="7493"/>
    <n v="96"/>
    <n v="3"/>
    <x v="0"/>
    <x v="0"/>
    <x v="0"/>
    <x v="530"/>
    <x v="627"/>
    <x v="5"/>
    <x v="14"/>
    <x v="38"/>
  </r>
  <r>
    <x v="429"/>
    <n v="2062"/>
    <n v="848"/>
    <n v="6"/>
    <x v="1"/>
    <x v="6"/>
    <x v="3"/>
    <x v="531"/>
    <x v="628"/>
    <x v="0"/>
    <x v="16"/>
    <x v="55"/>
  </r>
  <r>
    <x v="430"/>
    <n v="7163"/>
    <n v="1536"/>
    <n v="1"/>
    <x v="0"/>
    <x v="10"/>
    <x v="2"/>
    <x v="384"/>
    <x v="629"/>
    <x v="3"/>
    <x v="9"/>
    <x v="59"/>
  </r>
  <r>
    <x v="431"/>
    <n v="4026"/>
    <n v="163"/>
    <n v="6"/>
    <x v="0"/>
    <x v="10"/>
    <x v="4"/>
    <x v="532"/>
    <x v="630"/>
    <x v="2"/>
    <x v="5"/>
    <x v="17"/>
  </r>
  <r>
    <x v="432"/>
    <n v="1894"/>
    <n v="275"/>
    <n v="5"/>
    <x v="2"/>
    <x v="5"/>
    <x v="3"/>
    <x v="533"/>
    <x v="631"/>
    <x v="0"/>
    <x v="0"/>
    <x v="35"/>
  </r>
  <r>
    <x v="432"/>
    <n v="7144"/>
    <n v="192"/>
    <n v="13"/>
    <x v="0"/>
    <x v="0"/>
    <x v="3"/>
    <x v="533"/>
    <x v="631"/>
    <x v="0"/>
    <x v="0"/>
    <x v="35"/>
  </r>
  <r>
    <x v="433"/>
    <n v="3482"/>
    <n v="1554"/>
    <n v="15"/>
    <x v="0"/>
    <x v="3"/>
    <x v="1"/>
    <x v="534"/>
    <x v="632"/>
    <x v="5"/>
    <x v="12"/>
    <x v="57"/>
  </r>
  <r>
    <x v="434"/>
    <n v="4172"/>
    <n v="235"/>
    <n v="5"/>
    <x v="1"/>
    <x v="8"/>
    <x v="2"/>
    <x v="535"/>
    <x v="633"/>
    <x v="5"/>
    <x v="14"/>
    <x v="22"/>
  </r>
  <r>
    <x v="434"/>
    <n v="4172"/>
    <n v="235"/>
    <n v="5"/>
    <x v="1"/>
    <x v="8"/>
    <x v="2"/>
    <x v="536"/>
    <x v="634"/>
    <x v="0"/>
    <x v="3"/>
    <x v="40"/>
  </r>
  <r>
    <x v="434"/>
    <n v="4172"/>
    <n v="235"/>
    <n v="5"/>
    <x v="1"/>
    <x v="8"/>
    <x v="2"/>
    <x v="198"/>
    <x v="635"/>
    <x v="1"/>
    <x v="6"/>
    <x v="44"/>
  </r>
  <r>
    <x v="435"/>
    <n v="6265"/>
    <n v="155"/>
    <n v="8"/>
    <x v="2"/>
    <x v="7"/>
    <x v="4"/>
    <x v="157"/>
    <x v="636"/>
    <x v="5"/>
    <x v="13"/>
    <x v="40"/>
  </r>
  <r>
    <x v="435"/>
    <n v="6265"/>
    <n v="155"/>
    <n v="8"/>
    <x v="2"/>
    <x v="7"/>
    <x v="4"/>
    <x v="537"/>
    <x v="637"/>
    <x v="5"/>
    <x v="14"/>
    <x v="34"/>
  </r>
  <r>
    <x v="436"/>
    <n v="2931"/>
    <n v="212"/>
    <n v="7"/>
    <x v="0"/>
    <x v="0"/>
    <x v="3"/>
    <x v="538"/>
    <x v="638"/>
    <x v="1"/>
    <x v="17"/>
    <x v="47"/>
  </r>
  <r>
    <x v="436"/>
    <n v="2931"/>
    <n v="212"/>
    <n v="7"/>
    <x v="0"/>
    <x v="0"/>
    <x v="3"/>
    <x v="539"/>
    <x v="639"/>
    <x v="0"/>
    <x v="16"/>
    <x v="16"/>
  </r>
  <r>
    <x v="437"/>
    <n v="1146"/>
    <n v="188"/>
    <n v="9"/>
    <x v="2"/>
    <x v="5"/>
    <x v="1"/>
    <x v="540"/>
    <x v="640"/>
    <x v="0"/>
    <x v="16"/>
    <x v="46"/>
  </r>
  <r>
    <x v="438"/>
    <n v="9215"/>
    <n v="767"/>
    <n v="13"/>
    <x v="0"/>
    <x v="1"/>
    <x v="4"/>
    <x v="541"/>
    <x v="641"/>
    <x v="0"/>
    <x v="16"/>
    <x v="12"/>
  </r>
  <r>
    <x v="438"/>
    <n v="9215"/>
    <n v="767"/>
    <n v="13"/>
    <x v="0"/>
    <x v="1"/>
    <x v="4"/>
    <x v="542"/>
    <x v="642"/>
    <x v="3"/>
    <x v="11"/>
    <x v="35"/>
  </r>
  <r>
    <x v="439"/>
    <n v="7895"/>
    <n v="1005"/>
    <n v="1"/>
    <x v="2"/>
    <x v="5"/>
    <x v="3"/>
    <x v="543"/>
    <x v="643"/>
    <x v="5"/>
    <x v="13"/>
    <x v="59"/>
  </r>
  <r>
    <x v="439"/>
    <n v="7895"/>
    <n v="1005"/>
    <n v="1"/>
    <x v="2"/>
    <x v="5"/>
    <x v="3"/>
    <x v="544"/>
    <x v="644"/>
    <x v="3"/>
    <x v="9"/>
    <x v="30"/>
  </r>
  <r>
    <x v="439"/>
    <n v="2740"/>
    <n v="558"/>
    <n v="8"/>
    <x v="1"/>
    <x v="2"/>
    <x v="0"/>
    <x v="543"/>
    <x v="643"/>
    <x v="5"/>
    <x v="13"/>
    <x v="59"/>
  </r>
  <r>
    <x v="439"/>
    <n v="2740"/>
    <n v="558"/>
    <n v="8"/>
    <x v="1"/>
    <x v="2"/>
    <x v="0"/>
    <x v="544"/>
    <x v="644"/>
    <x v="3"/>
    <x v="9"/>
    <x v="30"/>
  </r>
  <r>
    <x v="440"/>
    <n v="5338"/>
    <n v="1354"/>
    <n v="16"/>
    <x v="1"/>
    <x v="6"/>
    <x v="0"/>
    <x v="545"/>
    <x v="645"/>
    <x v="1"/>
    <x v="17"/>
    <x v="19"/>
  </r>
  <r>
    <x v="440"/>
    <n v="5338"/>
    <n v="1354"/>
    <n v="16"/>
    <x v="1"/>
    <x v="6"/>
    <x v="0"/>
    <x v="546"/>
    <x v="646"/>
    <x v="2"/>
    <x v="2"/>
    <x v="0"/>
  </r>
  <r>
    <x v="440"/>
    <n v="5338"/>
    <n v="1354"/>
    <n v="16"/>
    <x v="1"/>
    <x v="6"/>
    <x v="0"/>
    <x v="408"/>
    <x v="647"/>
    <x v="0"/>
    <x v="3"/>
    <x v="56"/>
  </r>
  <r>
    <x v="440"/>
    <n v="5338"/>
    <n v="1354"/>
    <n v="16"/>
    <x v="1"/>
    <x v="6"/>
    <x v="0"/>
    <x v="547"/>
    <x v="648"/>
    <x v="2"/>
    <x v="2"/>
    <x v="49"/>
  </r>
  <r>
    <x v="441"/>
    <n v="3095"/>
    <n v="941"/>
    <n v="2"/>
    <x v="1"/>
    <x v="2"/>
    <x v="2"/>
    <x v="55"/>
    <x v="649"/>
    <x v="5"/>
    <x v="14"/>
    <x v="39"/>
  </r>
  <r>
    <x v="441"/>
    <n v="3095"/>
    <n v="941"/>
    <n v="2"/>
    <x v="1"/>
    <x v="2"/>
    <x v="2"/>
    <x v="98"/>
    <x v="650"/>
    <x v="4"/>
    <x v="10"/>
    <x v="40"/>
  </r>
  <r>
    <x v="442"/>
    <n v="6017"/>
    <n v="2230"/>
    <n v="13"/>
    <x v="0"/>
    <x v="1"/>
    <x v="1"/>
    <x v="166"/>
    <x v="651"/>
    <x v="1"/>
    <x v="17"/>
    <x v="21"/>
  </r>
  <r>
    <x v="443"/>
    <n v="4904"/>
    <n v="469"/>
    <n v="2"/>
    <x v="1"/>
    <x v="2"/>
    <x v="1"/>
    <x v="395"/>
    <x v="652"/>
    <x v="4"/>
    <x v="8"/>
    <x v="32"/>
  </r>
  <r>
    <x v="443"/>
    <n v="3080"/>
    <n v="737"/>
    <n v="6"/>
    <x v="1"/>
    <x v="9"/>
    <x v="0"/>
    <x v="395"/>
    <x v="652"/>
    <x v="4"/>
    <x v="8"/>
    <x v="32"/>
  </r>
  <r>
    <x v="444"/>
    <n v="1992"/>
    <n v="355"/>
    <n v="2"/>
    <x v="0"/>
    <x v="10"/>
    <x v="4"/>
    <x v="548"/>
    <x v="653"/>
    <x v="0"/>
    <x v="16"/>
    <x v="1"/>
  </r>
  <r>
    <x v="445"/>
    <n v="5346"/>
    <n v="1246"/>
    <n v="17"/>
    <x v="2"/>
    <x v="7"/>
    <x v="2"/>
    <x v="549"/>
    <x v="654"/>
    <x v="0"/>
    <x v="3"/>
    <x v="58"/>
  </r>
  <r>
    <x v="445"/>
    <n v="5346"/>
    <n v="1246"/>
    <n v="17"/>
    <x v="2"/>
    <x v="7"/>
    <x v="2"/>
    <x v="550"/>
    <x v="655"/>
    <x v="0"/>
    <x v="0"/>
    <x v="37"/>
  </r>
  <r>
    <x v="446"/>
    <n v="8422"/>
    <n v="893"/>
    <n v="18"/>
    <x v="0"/>
    <x v="1"/>
    <x v="1"/>
    <x v="98"/>
    <x v="656"/>
    <x v="3"/>
    <x v="11"/>
    <x v="40"/>
  </r>
  <r>
    <x v="446"/>
    <n v="8422"/>
    <n v="893"/>
    <n v="18"/>
    <x v="0"/>
    <x v="1"/>
    <x v="1"/>
    <x v="126"/>
    <x v="657"/>
    <x v="5"/>
    <x v="12"/>
    <x v="40"/>
  </r>
  <r>
    <x v="446"/>
    <n v="6105"/>
    <n v="1447"/>
    <n v="8"/>
    <x v="2"/>
    <x v="11"/>
    <x v="3"/>
    <x v="98"/>
    <x v="656"/>
    <x v="3"/>
    <x v="11"/>
    <x v="40"/>
  </r>
  <r>
    <x v="446"/>
    <n v="6105"/>
    <n v="1447"/>
    <n v="8"/>
    <x v="2"/>
    <x v="11"/>
    <x v="3"/>
    <x v="126"/>
    <x v="657"/>
    <x v="5"/>
    <x v="12"/>
    <x v="40"/>
  </r>
  <r>
    <x v="447"/>
    <n v="670"/>
    <n v="85"/>
    <n v="9"/>
    <x v="1"/>
    <x v="2"/>
    <x v="2"/>
    <x v="27"/>
    <x v="658"/>
    <x v="4"/>
    <x v="15"/>
    <x v="21"/>
  </r>
  <r>
    <x v="448"/>
    <n v="4057"/>
    <n v="1012"/>
    <n v="6"/>
    <x v="0"/>
    <x v="3"/>
    <x v="3"/>
    <x v="551"/>
    <x v="659"/>
    <x v="3"/>
    <x v="9"/>
    <x v="24"/>
  </r>
  <r>
    <x v="449"/>
    <n v="8178"/>
    <n v="2462"/>
    <n v="10"/>
    <x v="1"/>
    <x v="2"/>
    <x v="0"/>
    <x v="552"/>
    <x v="660"/>
    <x v="3"/>
    <x v="4"/>
    <x v="21"/>
  </r>
  <r>
    <x v="450"/>
    <n v="8752"/>
    <n v="1686"/>
    <n v="9"/>
    <x v="2"/>
    <x v="4"/>
    <x v="1"/>
    <x v="553"/>
    <x v="661"/>
    <x v="5"/>
    <x v="13"/>
    <x v="50"/>
  </r>
  <r>
    <x v="450"/>
    <n v="8752"/>
    <n v="1686"/>
    <n v="9"/>
    <x v="2"/>
    <x v="4"/>
    <x v="1"/>
    <x v="554"/>
    <x v="662"/>
    <x v="1"/>
    <x v="17"/>
    <x v="48"/>
  </r>
  <r>
    <x v="450"/>
    <n v="8752"/>
    <n v="1686"/>
    <n v="9"/>
    <x v="2"/>
    <x v="4"/>
    <x v="1"/>
    <x v="555"/>
    <x v="663"/>
    <x v="1"/>
    <x v="1"/>
    <x v="12"/>
  </r>
  <r>
    <x v="451"/>
    <n v="8974"/>
    <n v="4441"/>
    <n v="16"/>
    <x v="0"/>
    <x v="1"/>
    <x v="2"/>
    <x v="556"/>
    <x v="664"/>
    <x v="2"/>
    <x v="5"/>
    <x v="0"/>
  </r>
  <r>
    <x v="452"/>
    <n v="9090"/>
    <n v="3098"/>
    <n v="16"/>
    <x v="0"/>
    <x v="10"/>
    <x v="3"/>
    <x v="557"/>
    <x v="665"/>
    <x v="4"/>
    <x v="8"/>
    <x v="27"/>
  </r>
  <r>
    <x v="452"/>
    <n v="9090"/>
    <n v="3098"/>
    <n v="16"/>
    <x v="0"/>
    <x v="10"/>
    <x v="3"/>
    <x v="558"/>
    <x v="666"/>
    <x v="1"/>
    <x v="6"/>
    <x v="3"/>
  </r>
  <r>
    <x v="452"/>
    <n v="851"/>
    <n v="356"/>
    <n v="11"/>
    <x v="0"/>
    <x v="0"/>
    <x v="3"/>
    <x v="557"/>
    <x v="665"/>
    <x v="4"/>
    <x v="8"/>
    <x v="27"/>
  </r>
  <r>
    <x v="452"/>
    <n v="851"/>
    <n v="356"/>
    <n v="11"/>
    <x v="0"/>
    <x v="0"/>
    <x v="3"/>
    <x v="558"/>
    <x v="666"/>
    <x v="1"/>
    <x v="6"/>
    <x v="3"/>
  </r>
  <r>
    <x v="453"/>
    <n v="5427"/>
    <n v="728"/>
    <n v="3"/>
    <x v="0"/>
    <x v="10"/>
    <x v="0"/>
    <x v="559"/>
    <x v="667"/>
    <x v="0"/>
    <x v="0"/>
    <x v="45"/>
  </r>
  <r>
    <x v="454"/>
    <n v="2695"/>
    <n v="914"/>
    <n v="15"/>
    <x v="2"/>
    <x v="11"/>
    <x v="1"/>
    <x v="560"/>
    <x v="668"/>
    <x v="1"/>
    <x v="17"/>
    <x v="58"/>
  </r>
  <r>
    <x v="454"/>
    <n v="2695"/>
    <n v="914"/>
    <n v="15"/>
    <x v="2"/>
    <x v="11"/>
    <x v="1"/>
    <x v="561"/>
    <x v="669"/>
    <x v="3"/>
    <x v="4"/>
    <x v="22"/>
  </r>
  <r>
    <x v="455"/>
    <n v="2386"/>
    <n v="999"/>
    <n v="3"/>
    <x v="1"/>
    <x v="2"/>
    <x v="4"/>
    <x v="562"/>
    <x v="670"/>
    <x v="0"/>
    <x v="0"/>
    <x v="42"/>
  </r>
  <r>
    <x v="456"/>
    <n v="2284"/>
    <n v="149"/>
    <n v="20"/>
    <x v="1"/>
    <x v="2"/>
    <x v="1"/>
    <x v="563"/>
    <x v="671"/>
    <x v="2"/>
    <x v="7"/>
    <x v="36"/>
  </r>
  <r>
    <x v="457"/>
    <n v="6034"/>
    <n v="608"/>
    <n v="8"/>
    <x v="0"/>
    <x v="10"/>
    <x v="2"/>
    <x v="564"/>
    <x v="672"/>
    <x v="4"/>
    <x v="15"/>
    <x v="37"/>
  </r>
  <r>
    <x v="457"/>
    <n v="8956"/>
    <n v="3359"/>
    <n v="13"/>
    <x v="2"/>
    <x v="11"/>
    <x v="3"/>
    <x v="564"/>
    <x v="672"/>
    <x v="4"/>
    <x v="15"/>
    <x v="37"/>
  </r>
  <r>
    <x v="458"/>
    <n v="7122"/>
    <n v="1982"/>
    <n v="7"/>
    <x v="1"/>
    <x v="6"/>
    <x v="2"/>
    <x v="565"/>
    <x v="673"/>
    <x v="1"/>
    <x v="17"/>
    <x v="55"/>
  </r>
  <r>
    <x v="459"/>
    <n v="9775"/>
    <n v="4507"/>
    <n v="5"/>
    <x v="1"/>
    <x v="6"/>
    <x v="0"/>
    <x v="566"/>
    <x v="674"/>
    <x v="5"/>
    <x v="13"/>
    <x v="60"/>
  </r>
  <r>
    <x v="460"/>
    <n v="3309"/>
    <n v="177"/>
    <n v="13"/>
    <x v="2"/>
    <x v="11"/>
    <x v="2"/>
    <x v="567"/>
    <x v="675"/>
    <x v="5"/>
    <x v="14"/>
    <x v="50"/>
  </r>
  <r>
    <x v="461"/>
    <n v="4163"/>
    <n v="897"/>
    <n v="14"/>
    <x v="0"/>
    <x v="0"/>
    <x v="4"/>
    <x v="303"/>
    <x v="676"/>
    <x v="1"/>
    <x v="6"/>
    <x v="40"/>
  </r>
  <r>
    <x v="461"/>
    <n v="4163"/>
    <n v="897"/>
    <n v="14"/>
    <x v="0"/>
    <x v="0"/>
    <x v="4"/>
    <x v="568"/>
    <x v="677"/>
    <x v="5"/>
    <x v="14"/>
    <x v="9"/>
  </r>
  <r>
    <x v="461"/>
    <n v="4163"/>
    <n v="897"/>
    <n v="14"/>
    <x v="0"/>
    <x v="0"/>
    <x v="4"/>
    <x v="569"/>
    <x v="678"/>
    <x v="0"/>
    <x v="3"/>
    <x v="22"/>
  </r>
  <r>
    <x v="462"/>
    <n v="5518"/>
    <n v="867"/>
    <n v="7"/>
    <x v="2"/>
    <x v="7"/>
    <x v="0"/>
    <x v="570"/>
    <x v="679"/>
    <x v="4"/>
    <x v="15"/>
    <x v="29"/>
  </r>
  <r>
    <x v="463"/>
    <n v="7566"/>
    <n v="606"/>
    <n v="6"/>
    <x v="0"/>
    <x v="10"/>
    <x v="1"/>
    <x v="571"/>
    <x v="680"/>
    <x v="5"/>
    <x v="12"/>
    <x v="52"/>
  </r>
  <r>
    <x v="463"/>
    <n v="7566"/>
    <n v="606"/>
    <n v="6"/>
    <x v="0"/>
    <x v="10"/>
    <x v="1"/>
    <x v="572"/>
    <x v="681"/>
    <x v="3"/>
    <x v="9"/>
    <x v="9"/>
  </r>
  <r>
    <x v="464"/>
    <n v="762"/>
    <n v="92"/>
    <n v="11"/>
    <x v="0"/>
    <x v="1"/>
    <x v="4"/>
    <x v="573"/>
    <x v="682"/>
    <x v="1"/>
    <x v="6"/>
    <x v="54"/>
  </r>
  <r>
    <x v="465"/>
    <n v="3316"/>
    <n v="126"/>
    <n v="6"/>
    <x v="0"/>
    <x v="3"/>
    <x v="4"/>
    <x v="574"/>
    <x v="683"/>
    <x v="5"/>
    <x v="13"/>
    <x v="20"/>
  </r>
  <r>
    <x v="466"/>
    <n v="5994"/>
    <n v="2826"/>
    <n v="9"/>
    <x v="2"/>
    <x v="11"/>
    <x v="2"/>
    <x v="249"/>
    <x v="684"/>
    <x v="3"/>
    <x v="11"/>
    <x v="23"/>
  </r>
  <r>
    <x v="466"/>
    <n v="5994"/>
    <n v="2826"/>
    <n v="9"/>
    <x v="2"/>
    <x v="11"/>
    <x v="2"/>
    <x v="575"/>
    <x v="685"/>
    <x v="3"/>
    <x v="4"/>
    <x v="55"/>
  </r>
  <r>
    <x v="466"/>
    <n v="5994"/>
    <n v="2826"/>
    <n v="9"/>
    <x v="2"/>
    <x v="11"/>
    <x v="2"/>
    <x v="147"/>
    <x v="686"/>
    <x v="2"/>
    <x v="5"/>
    <x v="55"/>
  </r>
  <r>
    <x v="467"/>
    <n v="3854"/>
    <n v="245"/>
    <n v="19"/>
    <x v="0"/>
    <x v="3"/>
    <x v="4"/>
    <x v="576"/>
    <x v="687"/>
    <x v="5"/>
    <x v="12"/>
    <x v="37"/>
  </r>
  <r>
    <x v="468"/>
    <n v="7019"/>
    <n v="2677"/>
    <n v="15"/>
    <x v="1"/>
    <x v="6"/>
    <x v="0"/>
    <x v="107"/>
    <x v="688"/>
    <x v="0"/>
    <x v="0"/>
    <x v="50"/>
  </r>
  <r>
    <x v="469"/>
    <n v="5954"/>
    <n v="2640"/>
    <n v="14"/>
    <x v="0"/>
    <x v="3"/>
    <x v="3"/>
    <x v="577"/>
    <x v="689"/>
    <x v="2"/>
    <x v="5"/>
    <x v="36"/>
  </r>
  <r>
    <x v="469"/>
    <n v="5954"/>
    <n v="2640"/>
    <n v="14"/>
    <x v="0"/>
    <x v="3"/>
    <x v="3"/>
    <x v="402"/>
    <x v="690"/>
    <x v="4"/>
    <x v="8"/>
    <x v="15"/>
  </r>
  <r>
    <x v="470"/>
    <n v="9752"/>
    <n v="3618"/>
    <n v="5"/>
    <x v="2"/>
    <x v="11"/>
    <x v="1"/>
    <x v="578"/>
    <x v="691"/>
    <x v="2"/>
    <x v="7"/>
    <x v="42"/>
  </r>
  <r>
    <x v="470"/>
    <n v="9752"/>
    <n v="3618"/>
    <n v="5"/>
    <x v="2"/>
    <x v="11"/>
    <x v="1"/>
    <x v="283"/>
    <x v="692"/>
    <x v="1"/>
    <x v="17"/>
    <x v="15"/>
  </r>
  <r>
    <x v="471"/>
    <n v="5335"/>
    <n v="322"/>
    <n v="15"/>
    <x v="0"/>
    <x v="0"/>
    <x v="4"/>
    <x v="579"/>
    <x v="693"/>
    <x v="2"/>
    <x v="5"/>
    <x v="37"/>
  </r>
  <r>
    <x v="472"/>
    <n v="1454"/>
    <n v="80"/>
    <n v="20"/>
    <x v="0"/>
    <x v="0"/>
    <x v="3"/>
    <x v="580"/>
    <x v="694"/>
    <x v="2"/>
    <x v="7"/>
    <x v="58"/>
  </r>
  <r>
    <x v="473"/>
    <n v="6724"/>
    <n v="1539"/>
    <n v="19"/>
    <x v="2"/>
    <x v="11"/>
    <x v="4"/>
    <x v="581"/>
    <x v="695"/>
    <x v="3"/>
    <x v="11"/>
    <x v="13"/>
  </r>
  <r>
    <x v="473"/>
    <n v="6724"/>
    <n v="1539"/>
    <n v="19"/>
    <x v="2"/>
    <x v="11"/>
    <x v="4"/>
    <x v="582"/>
    <x v="696"/>
    <x v="4"/>
    <x v="8"/>
    <x v="22"/>
  </r>
  <r>
    <x v="474"/>
    <n v="9874"/>
    <n v="3895"/>
    <n v="4"/>
    <x v="1"/>
    <x v="9"/>
    <x v="2"/>
    <x v="404"/>
    <x v="697"/>
    <x v="5"/>
    <x v="14"/>
    <x v="9"/>
  </r>
  <r>
    <x v="475"/>
    <n v="4918"/>
    <n v="1485"/>
    <n v="7"/>
    <x v="0"/>
    <x v="10"/>
    <x v="0"/>
    <x v="583"/>
    <x v="698"/>
    <x v="0"/>
    <x v="16"/>
    <x v="14"/>
  </r>
  <r>
    <x v="476"/>
    <n v="3189"/>
    <n v="1180"/>
    <n v="19"/>
    <x v="1"/>
    <x v="8"/>
    <x v="3"/>
    <x v="168"/>
    <x v="699"/>
    <x v="2"/>
    <x v="5"/>
    <x v="13"/>
  </r>
  <r>
    <x v="477"/>
    <n v="2684"/>
    <n v="713"/>
    <n v="2"/>
    <x v="0"/>
    <x v="0"/>
    <x v="0"/>
    <x v="208"/>
    <x v="700"/>
    <x v="2"/>
    <x v="5"/>
    <x v="47"/>
  </r>
  <r>
    <x v="477"/>
    <n v="2684"/>
    <n v="713"/>
    <n v="2"/>
    <x v="0"/>
    <x v="0"/>
    <x v="0"/>
    <x v="584"/>
    <x v="701"/>
    <x v="2"/>
    <x v="2"/>
    <x v="33"/>
  </r>
  <r>
    <x v="477"/>
    <n v="2684"/>
    <n v="713"/>
    <n v="2"/>
    <x v="0"/>
    <x v="0"/>
    <x v="0"/>
    <x v="585"/>
    <x v="702"/>
    <x v="4"/>
    <x v="8"/>
    <x v="8"/>
  </r>
  <r>
    <x v="478"/>
    <n v="7626"/>
    <n v="229"/>
    <n v="5"/>
    <x v="1"/>
    <x v="2"/>
    <x v="2"/>
    <x v="350"/>
    <x v="703"/>
    <x v="1"/>
    <x v="6"/>
    <x v="42"/>
  </r>
  <r>
    <x v="478"/>
    <n v="7626"/>
    <n v="229"/>
    <n v="5"/>
    <x v="1"/>
    <x v="2"/>
    <x v="2"/>
    <x v="586"/>
    <x v="704"/>
    <x v="5"/>
    <x v="12"/>
    <x v="11"/>
  </r>
  <r>
    <x v="479"/>
    <n v="6669"/>
    <n v="3063"/>
    <n v="19"/>
    <x v="0"/>
    <x v="1"/>
    <x v="0"/>
    <x v="587"/>
    <x v="705"/>
    <x v="5"/>
    <x v="13"/>
    <x v="21"/>
  </r>
  <r>
    <x v="480"/>
    <n v="6123"/>
    <n v="1686"/>
    <n v="3"/>
    <x v="1"/>
    <x v="6"/>
    <x v="3"/>
    <x v="112"/>
    <x v="706"/>
    <x v="5"/>
    <x v="13"/>
    <x v="37"/>
  </r>
  <r>
    <x v="481"/>
    <n v="3265"/>
    <n v="1390"/>
    <n v="16"/>
    <x v="1"/>
    <x v="8"/>
    <x v="3"/>
    <x v="588"/>
    <x v="707"/>
    <x v="3"/>
    <x v="4"/>
    <x v="10"/>
  </r>
  <r>
    <x v="482"/>
    <n v="8104"/>
    <n v="1039"/>
    <n v="6"/>
    <x v="1"/>
    <x v="6"/>
    <x v="4"/>
    <x v="589"/>
    <x v="708"/>
    <x v="0"/>
    <x v="3"/>
    <x v="35"/>
  </r>
  <r>
    <x v="482"/>
    <n v="8104"/>
    <n v="1039"/>
    <n v="6"/>
    <x v="1"/>
    <x v="6"/>
    <x v="4"/>
    <x v="590"/>
    <x v="709"/>
    <x v="0"/>
    <x v="0"/>
    <x v="4"/>
  </r>
  <r>
    <x v="482"/>
    <n v="8104"/>
    <n v="1039"/>
    <n v="6"/>
    <x v="1"/>
    <x v="6"/>
    <x v="4"/>
    <x v="330"/>
    <x v="710"/>
    <x v="3"/>
    <x v="11"/>
    <x v="52"/>
  </r>
  <r>
    <x v="483"/>
    <n v="847"/>
    <n v="355"/>
    <n v="17"/>
    <x v="2"/>
    <x v="4"/>
    <x v="4"/>
    <x v="591"/>
    <x v="711"/>
    <x v="2"/>
    <x v="2"/>
    <x v="37"/>
  </r>
  <r>
    <x v="483"/>
    <n v="847"/>
    <n v="355"/>
    <n v="17"/>
    <x v="2"/>
    <x v="4"/>
    <x v="4"/>
    <x v="394"/>
    <x v="712"/>
    <x v="4"/>
    <x v="10"/>
    <x v="6"/>
  </r>
  <r>
    <x v="483"/>
    <n v="847"/>
    <n v="355"/>
    <n v="17"/>
    <x v="2"/>
    <x v="4"/>
    <x v="4"/>
    <x v="463"/>
    <x v="713"/>
    <x v="3"/>
    <x v="11"/>
    <x v="54"/>
  </r>
  <r>
    <x v="484"/>
    <n v="3129"/>
    <n v="55"/>
    <n v="9"/>
    <x v="2"/>
    <x v="11"/>
    <x v="1"/>
    <x v="506"/>
    <x v="714"/>
    <x v="1"/>
    <x v="17"/>
    <x v="43"/>
  </r>
  <r>
    <x v="484"/>
    <n v="7821"/>
    <n v="3821"/>
    <n v="13"/>
    <x v="0"/>
    <x v="3"/>
    <x v="2"/>
    <x v="506"/>
    <x v="714"/>
    <x v="1"/>
    <x v="17"/>
    <x v="43"/>
  </r>
  <r>
    <x v="485"/>
    <n v="9498"/>
    <n v="256"/>
    <n v="12"/>
    <x v="0"/>
    <x v="10"/>
    <x v="4"/>
    <x v="592"/>
    <x v="715"/>
    <x v="1"/>
    <x v="17"/>
    <x v="51"/>
  </r>
  <r>
    <x v="485"/>
    <n v="9498"/>
    <n v="256"/>
    <n v="12"/>
    <x v="0"/>
    <x v="10"/>
    <x v="4"/>
    <x v="590"/>
    <x v="716"/>
    <x v="2"/>
    <x v="5"/>
    <x v="4"/>
  </r>
  <r>
    <x v="486"/>
    <n v="5461"/>
    <n v="1214"/>
    <n v="7"/>
    <x v="2"/>
    <x v="7"/>
    <x v="3"/>
    <x v="593"/>
    <x v="717"/>
    <x v="2"/>
    <x v="7"/>
    <x v="53"/>
  </r>
  <r>
    <x v="487"/>
    <n v="3084"/>
    <n v="611"/>
    <n v="19"/>
    <x v="2"/>
    <x v="11"/>
    <x v="0"/>
    <x v="594"/>
    <x v="718"/>
    <x v="4"/>
    <x v="8"/>
    <x v="3"/>
  </r>
  <r>
    <x v="488"/>
    <n v="6087"/>
    <n v="3043"/>
    <n v="1"/>
    <x v="2"/>
    <x v="7"/>
    <x v="4"/>
    <x v="595"/>
    <x v="719"/>
    <x v="2"/>
    <x v="2"/>
    <x v="38"/>
  </r>
  <r>
    <x v="489"/>
    <n v="611"/>
    <n v="300"/>
    <n v="3"/>
    <x v="2"/>
    <x v="11"/>
    <x v="3"/>
    <x v="596"/>
    <x v="720"/>
    <x v="1"/>
    <x v="17"/>
    <x v="20"/>
  </r>
  <r>
    <x v="490"/>
    <n v="9909"/>
    <n v="2999"/>
    <n v="18"/>
    <x v="1"/>
    <x v="6"/>
    <x v="4"/>
    <x v="597"/>
    <x v="721"/>
    <x v="5"/>
    <x v="14"/>
    <x v="18"/>
  </r>
  <r>
    <x v="490"/>
    <n v="9909"/>
    <n v="2999"/>
    <n v="18"/>
    <x v="1"/>
    <x v="6"/>
    <x v="4"/>
    <x v="598"/>
    <x v="722"/>
    <x v="4"/>
    <x v="10"/>
    <x v="12"/>
  </r>
  <r>
    <x v="491"/>
    <n v="6485"/>
    <n v="3178"/>
    <n v="18"/>
    <x v="2"/>
    <x v="7"/>
    <x v="0"/>
    <x v="401"/>
    <x v="723"/>
    <x v="5"/>
    <x v="12"/>
    <x v="17"/>
  </r>
  <r>
    <x v="492"/>
    <n v="7259"/>
    <n v="1969"/>
    <n v="10"/>
    <x v="0"/>
    <x v="3"/>
    <x v="3"/>
    <x v="174"/>
    <x v="724"/>
    <x v="1"/>
    <x v="6"/>
    <x v="29"/>
  </r>
  <r>
    <x v="493"/>
    <n v="3333"/>
    <n v="700"/>
    <n v="18"/>
    <x v="0"/>
    <x v="1"/>
    <x v="4"/>
    <x v="103"/>
    <x v="725"/>
    <x v="0"/>
    <x v="0"/>
    <x v="28"/>
  </r>
  <r>
    <x v="494"/>
    <n v="7786"/>
    <n v="1202"/>
    <n v="4"/>
    <x v="2"/>
    <x v="7"/>
    <x v="2"/>
    <x v="219"/>
    <x v="726"/>
    <x v="1"/>
    <x v="17"/>
    <x v="53"/>
  </r>
  <r>
    <x v="495"/>
    <n v="7644"/>
    <n v="2428"/>
    <n v="6"/>
    <x v="0"/>
    <x v="10"/>
    <x v="1"/>
    <x v="332"/>
    <x v="727"/>
    <x v="1"/>
    <x v="6"/>
    <x v="12"/>
  </r>
  <r>
    <x v="496"/>
    <n v="1476"/>
    <n v="247"/>
    <n v="5"/>
    <x v="2"/>
    <x v="11"/>
    <x v="4"/>
    <x v="599"/>
    <x v="728"/>
    <x v="3"/>
    <x v="4"/>
    <x v="6"/>
  </r>
  <r>
    <x v="496"/>
    <n v="1476"/>
    <n v="247"/>
    <n v="5"/>
    <x v="2"/>
    <x v="11"/>
    <x v="4"/>
    <x v="600"/>
    <x v="729"/>
    <x v="3"/>
    <x v="9"/>
    <x v="12"/>
  </r>
  <r>
    <x v="497"/>
    <n v="3445"/>
    <n v="1405"/>
    <n v="16"/>
    <x v="2"/>
    <x v="7"/>
    <x v="2"/>
    <x v="487"/>
    <x v="730"/>
    <x v="3"/>
    <x v="11"/>
    <x v="57"/>
  </r>
  <r>
    <x v="497"/>
    <n v="9837"/>
    <n v="384"/>
    <n v="1"/>
    <x v="0"/>
    <x v="3"/>
    <x v="0"/>
    <x v="487"/>
    <x v="730"/>
    <x v="3"/>
    <x v="11"/>
    <x v="57"/>
  </r>
  <r>
    <x v="498"/>
    <n v="1314"/>
    <n v="457"/>
    <n v="8"/>
    <x v="2"/>
    <x v="7"/>
    <x v="2"/>
    <x v="281"/>
    <x v="731"/>
    <x v="3"/>
    <x v="9"/>
    <x v="22"/>
  </r>
  <r>
    <x v="499"/>
    <n v="5951"/>
    <n v="936"/>
    <n v="6"/>
    <x v="0"/>
    <x v="3"/>
    <x v="1"/>
    <x v="601"/>
    <x v="732"/>
    <x v="4"/>
    <x v="8"/>
    <x v="19"/>
  </r>
  <r>
    <x v="499"/>
    <n v="5951"/>
    <n v="936"/>
    <n v="6"/>
    <x v="0"/>
    <x v="3"/>
    <x v="1"/>
    <x v="602"/>
    <x v="733"/>
    <x v="5"/>
    <x v="12"/>
    <x v="58"/>
  </r>
  <r>
    <x v="500"/>
    <n v="992"/>
    <n v="177"/>
    <n v="6"/>
    <x v="0"/>
    <x v="10"/>
    <x v="0"/>
    <x v="603"/>
    <x v="734"/>
    <x v="3"/>
    <x v="4"/>
    <x v="10"/>
  </r>
  <r>
    <x v="500"/>
    <n v="4699"/>
    <n v="625"/>
    <n v="18"/>
    <x v="1"/>
    <x v="6"/>
    <x v="2"/>
    <x v="603"/>
    <x v="734"/>
    <x v="3"/>
    <x v="4"/>
    <x v="10"/>
  </r>
  <r>
    <x v="501"/>
    <n v="5557"/>
    <n v="2114"/>
    <n v="17"/>
    <x v="0"/>
    <x v="3"/>
    <x v="2"/>
    <x v="113"/>
    <x v="735"/>
    <x v="5"/>
    <x v="14"/>
    <x v="18"/>
  </r>
  <r>
    <x v="502"/>
    <n v="3436"/>
    <n v="933"/>
    <n v="3"/>
    <x v="0"/>
    <x v="0"/>
    <x v="3"/>
    <x v="340"/>
    <x v="736"/>
    <x v="4"/>
    <x v="8"/>
    <x v="22"/>
  </r>
  <r>
    <x v="503"/>
    <n v="9840"/>
    <n v="3870"/>
    <n v="11"/>
    <x v="0"/>
    <x v="1"/>
    <x v="1"/>
    <x v="604"/>
    <x v="737"/>
    <x v="4"/>
    <x v="10"/>
    <x v="28"/>
  </r>
  <r>
    <x v="504"/>
    <n v="7620"/>
    <n v="125"/>
    <n v="4"/>
    <x v="1"/>
    <x v="8"/>
    <x v="2"/>
    <x v="605"/>
    <x v="738"/>
    <x v="3"/>
    <x v="11"/>
    <x v="2"/>
  </r>
  <r>
    <x v="504"/>
    <n v="7620"/>
    <n v="125"/>
    <n v="4"/>
    <x v="1"/>
    <x v="8"/>
    <x v="2"/>
    <x v="606"/>
    <x v="739"/>
    <x v="3"/>
    <x v="11"/>
    <x v="56"/>
  </r>
  <r>
    <x v="505"/>
    <n v="4314"/>
    <n v="1591"/>
    <n v="5"/>
    <x v="2"/>
    <x v="4"/>
    <x v="1"/>
    <x v="178"/>
    <x v="740"/>
    <x v="2"/>
    <x v="2"/>
    <x v="4"/>
  </r>
  <r>
    <x v="506"/>
    <n v="8851"/>
    <n v="999"/>
    <n v="12"/>
    <x v="0"/>
    <x v="3"/>
    <x v="0"/>
    <x v="607"/>
    <x v="741"/>
    <x v="5"/>
    <x v="13"/>
    <x v="42"/>
  </r>
  <r>
    <x v="507"/>
    <n v="544"/>
    <n v="272"/>
    <n v="2"/>
    <x v="0"/>
    <x v="3"/>
    <x v="1"/>
    <x v="608"/>
    <x v="742"/>
    <x v="4"/>
    <x v="15"/>
    <x v="34"/>
  </r>
  <r>
    <x v="507"/>
    <n v="544"/>
    <n v="272"/>
    <n v="2"/>
    <x v="0"/>
    <x v="3"/>
    <x v="1"/>
    <x v="474"/>
    <x v="743"/>
    <x v="2"/>
    <x v="2"/>
    <x v="0"/>
  </r>
  <r>
    <x v="508"/>
    <n v="537"/>
    <n v="142"/>
    <n v="20"/>
    <x v="1"/>
    <x v="6"/>
    <x v="2"/>
    <x v="609"/>
    <x v="744"/>
    <x v="1"/>
    <x v="17"/>
    <x v="36"/>
  </r>
  <r>
    <x v="509"/>
    <n v="5944"/>
    <n v="2661"/>
    <n v="7"/>
    <x v="0"/>
    <x v="3"/>
    <x v="2"/>
    <x v="434"/>
    <x v="745"/>
    <x v="4"/>
    <x v="10"/>
    <x v="25"/>
  </r>
  <r>
    <x v="510"/>
    <n v="2258"/>
    <n v="135"/>
    <n v="18"/>
    <x v="0"/>
    <x v="1"/>
    <x v="3"/>
    <x v="607"/>
    <x v="746"/>
    <x v="0"/>
    <x v="0"/>
    <x v="42"/>
  </r>
  <r>
    <x v="510"/>
    <n v="2258"/>
    <n v="135"/>
    <n v="18"/>
    <x v="0"/>
    <x v="1"/>
    <x v="3"/>
    <x v="610"/>
    <x v="747"/>
    <x v="3"/>
    <x v="9"/>
    <x v="40"/>
  </r>
  <r>
    <x v="511"/>
    <n v="9609"/>
    <n v="4339"/>
    <n v="3"/>
    <x v="2"/>
    <x v="7"/>
    <x v="1"/>
    <x v="611"/>
    <x v="748"/>
    <x v="4"/>
    <x v="15"/>
    <x v="31"/>
  </r>
  <r>
    <x v="511"/>
    <n v="9609"/>
    <n v="4339"/>
    <n v="3"/>
    <x v="2"/>
    <x v="7"/>
    <x v="1"/>
    <x v="612"/>
    <x v="749"/>
    <x v="5"/>
    <x v="13"/>
    <x v="32"/>
  </r>
  <r>
    <x v="512"/>
    <n v="9952"/>
    <n v="3301"/>
    <n v="15"/>
    <x v="0"/>
    <x v="0"/>
    <x v="1"/>
    <x v="362"/>
    <x v="750"/>
    <x v="4"/>
    <x v="8"/>
    <x v="45"/>
  </r>
  <r>
    <x v="513"/>
    <n v="9873"/>
    <n v="4585"/>
    <n v="7"/>
    <x v="1"/>
    <x v="8"/>
    <x v="3"/>
    <x v="443"/>
    <x v="751"/>
    <x v="5"/>
    <x v="12"/>
    <x v="38"/>
  </r>
  <r>
    <x v="514"/>
    <n v="3560"/>
    <n v="1335"/>
    <n v="15"/>
    <x v="0"/>
    <x v="0"/>
    <x v="4"/>
    <x v="294"/>
    <x v="752"/>
    <x v="2"/>
    <x v="5"/>
    <x v="32"/>
  </r>
  <r>
    <x v="514"/>
    <n v="3560"/>
    <n v="1335"/>
    <n v="15"/>
    <x v="0"/>
    <x v="0"/>
    <x v="4"/>
    <x v="613"/>
    <x v="753"/>
    <x v="1"/>
    <x v="6"/>
    <x v="45"/>
  </r>
  <r>
    <x v="515"/>
    <n v="6528"/>
    <n v="76"/>
    <n v="9"/>
    <x v="0"/>
    <x v="10"/>
    <x v="1"/>
    <x v="8"/>
    <x v="754"/>
    <x v="2"/>
    <x v="2"/>
    <x v="8"/>
  </r>
  <r>
    <x v="515"/>
    <n v="8930"/>
    <n v="3374"/>
    <n v="12"/>
    <x v="2"/>
    <x v="7"/>
    <x v="1"/>
    <x v="8"/>
    <x v="754"/>
    <x v="2"/>
    <x v="2"/>
    <x v="8"/>
  </r>
  <r>
    <x v="516"/>
    <n v="4521"/>
    <n v="1778"/>
    <n v="9"/>
    <x v="1"/>
    <x v="8"/>
    <x v="1"/>
    <x v="614"/>
    <x v="755"/>
    <x v="0"/>
    <x v="16"/>
    <x v="56"/>
  </r>
  <r>
    <x v="517"/>
    <n v="7091"/>
    <n v="2317"/>
    <n v="10"/>
    <x v="2"/>
    <x v="7"/>
    <x v="3"/>
    <x v="615"/>
    <x v="756"/>
    <x v="3"/>
    <x v="9"/>
    <x v="33"/>
  </r>
  <r>
    <x v="518"/>
    <n v="2101"/>
    <n v="287"/>
    <n v="8"/>
    <x v="1"/>
    <x v="2"/>
    <x v="4"/>
    <x v="494"/>
    <x v="349"/>
    <x v="5"/>
    <x v="14"/>
    <x v="60"/>
  </r>
  <r>
    <x v="518"/>
    <n v="2101"/>
    <n v="287"/>
    <n v="8"/>
    <x v="1"/>
    <x v="2"/>
    <x v="4"/>
    <x v="616"/>
    <x v="757"/>
    <x v="1"/>
    <x v="1"/>
    <x v="28"/>
  </r>
  <r>
    <x v="519"/>
    <n v="8644"/>
    <n v="1968"/>
    <n v="9"/>
    <x v="1"/>
    <x v="8"/>
    <x v="1"/>
    <x v="617"/>
    <x v="758"/>
    <x v="1"/>
    <x v="1"/>
    <x v="6"/>
  </r>
  <r>
    <x v="520"/>
    <n v="6672"/>
    <n v="3319"/>
    <n v="4"/>
    <x v="2"/>
    <x v="4"/>
    <x v="0"/>
    <x v="618"/>
    <x v="759"/>
    <x v="4"/>
    <x v="8"/>
    <x v="6"/>
  </r>
  <r>
    <x v="520"/>
    <n v="6672"/>
    <n v="3319"/>
    <n v="4"/>
    <x v="2"/>
    <x v="4"/>
    <x v="0"/>
    <x v="619"/>
    <x v="760"/>
    <x v="3"/>
    <x v="9"/>
    <x v="3"/>
  </r>
  <r>
    <x v="521"/>
    <n v="4699"/>
    <n v="103"/>
    <n v="12"/>
    <x v="1"/>
    <x v="9"/>
    <x v="0"/>
    <x v="594"/>
    <x v="761"/>
    <x v="5"/>
    <x v="13"/>
    <x v="3"/>
  </r>
  <r>
    <x v="522"/>
    <n v="4897"/>
    <n v="1001"/>
    <n v="14"/>
    <x v="2"/>
    <x v="7"/>
    <x v="1"/>
    <x v="376"/>
    <x v="762"/>
    <x v="4"/>
    <x v="15"/>
    <x v="13"/>
  </r>
  <r>
    <x v="522"/>
    <n v="4897"/>
    <n v="1001"/>
    <n v="14"/>
    <x v="2"/>
    <x v="7"/>
    <x v="1"/>
    <x v="119"/>
    <x v="763"/>
    <x v="5"/>
    <x v="13"/>
    <x v="52"/>
  </r>
  <r>
    <x v="523"/>
    <n v="5460"/>
    <n v="2088"/>
    <n v="14"/>
    <x v="2"/>
    <x v="4"/>
    <x v="1"/>
    <x v="620"/>
    <x v="764"/>
    <x v="2"/>
    <x v="2"/>
    <x v="58"/>
  </r>
  <r>
    <x v="523"/>
    <n v="5460"/>
    <n v="2088"/>
    <n v="14"/>
    <x v="2"/>
    <x v="4"/>
    <x v="1"/>
    <x v="621"/>
    <x v="765"/>
    <x v="5"/>
    <x v="13"/>
    <x v="32"/>
  </r>
  <r>
    <x v="524"/>
    <n v="9272"/>
    <n v="1771"/>
    <n v="19"/>
    <x v="1"/>
    <x v="6"/>
    <x v="0"/>
    <x v="622"/>
    <x v="766"/>
    <x v="1"/>
    <x v="6"/>
    <x v="46"/>
  </r>
  <r>
    <x v="524"/>
    <n v="9272"/>
    <n v="1771"/>
    <n v="19"/>
    <x v="1"/>
    <x v="6"/>
    <x v="0"/>
    <x v="440"/>
    <x v="767"/>
    <x v="4"/>
    <x v="8"/>
    <x v="32"/>
  </r>
  <r>
    <x v="525"/>
    <n v="7870"/>
    <n v="1057"/>
    <n v="15"/>
    <x v="1"/>
    <x v="2"/>
    <x v="3"/>
    <x v="236"/>
    <x v="768"/>
    <x v="4"/>
    <x v="15"/>
    <x v="59"/>
  </r>
  <r>
    <x v="525"/>
    <n v="7870"/>
    <n v="1057"/>
    <n v="15"/>
    <x v="1"/>
    <x v="2"/>
    <x v="3"/>
    <x v="623"/>
    <x v="769"/>
    <x v="5"/>
    <x v="14"/>
    <x v="34"/>
  </r>
  <r>
    <x v="526"/>
    <n v="7992"/>
    <n v="893"/>
    <n v="12"/>
    <x v="0"/>
    <x v="3"/>
    <x v="3"/>
    <x v="511"/>
    <x v="770"/>
    <x v="5"/>
    <x v="14"/>
    <x v="31"/>
  </r>
  <r>
    <x v="526"/>
    <n v="7992"/>
    <n v="893"/>
    <n v="12"/>
    <x v="0"/>
    <x v="3"/>
    <x v="3"/>
    <x v="230"/>
    <x v="771"/>
    <x v="2"/>
    <x v="5"/>
    <x v="23"/>
  </r>
  <r>
    <x v="526"/>
    <n v="7992"/>
    <n v="893"/>
    <n v="12"/>
    <x v="0"/>
    <x v="3"/>
    <x v="3"/>
    <x v="624"/>
    <x v="772"/>
    <x v="1"/>
    <x v="1"/>
    <x v="23"/>
  </r>
  <r>
    <x v="527"/>
    <n v="6499"/>
    <n v="2189"/>
    <n v="18"/>
    <x v="0"/>
    <x v="0"/>
    <x v="2"/>
    <x v="208"/>
    <x v="773"/>
    <x v="2"/>
    <x v="5"/>
    <x v="47"/>
  </r>
  <r>
    <x v="527"/>
    <n v="6499"/>
    <n v="2189"/>
    <n v="18"/>
    <x v="0"/>
    <x v="0"/>
    <x v="2"/>
    <x v="348"/>
    <x v="774"/>
    <x v="0"/>
    <x v="3"/>
    <x v="27"/>
  </r>
  <r>
    <x v="528"/>
    <n v="8848"/>
    <n v="2090"/>
    <n v="9"/>
    <x v="1"/>
    <x v="2"/>
    <x v="1"/>
    <x v="625"/>
    <x v="775"/>
    <x v="3"/>
    <x v="9"/>
    <x v="52"/>
  </r>
  <r>
    <x v="529"/>
    <n v="8044"/>
    <n v="3634"/>
    <n v="3"/>
    <x v="1"/>
    <x v="6"/>
    <x v="4"/>
    <x v="626"/>
    <x v="776"/>
    <x v="0"/>
    <x v="3"/>
    <x v="50"/>
  </r>
  <r>
    <x v="529"/>
    <n v="8044"/>
    <n v="3634"/>
    <n v="3"/>
    <x v="1"/>
    <x v="6"/>
    <x v="4"/>
    <x v="23"/>
    <x v="777"/>
    <x v="3"/>
    <x v="9"/>
    <x v="15"/>
  </r>
  <r>
    <x v="530"/>
    <n v="7417"/>
    <n v="1334"/>
    <n v="16"/>
    <x v="2"/>
    <x v="11"/>
    <x v="4"/>
    <x v="627"/>
    <x v="778"/>
    <x v="0"/>
    <x v="16"/>
    <x v="4"/>
  </r>
  <r>
    <x v="531"/>
    <n v="3451"/>
    <n v="658"/>
    <n v="3"/>
    <x v="1"/>
    <x v="6"/>
    <x v="0"/>
    <x v="628"/>
    <x v="779"/>
    <x v="1"/>
    <x v="1"/>
    <x v="1"/>
  </r>
  <r>
    <x v="532"/>
    <n v="8531"/>
    <n v="2555"/>
    <n v="4"/>
    <x v="0"/>
    <x v="3"/>
    <x v="2"/>
    <x v="629"/>
    <x v="780"/>
    <x v="4"/>
    <x v="10"/>
    <x v="37"/>
  </r>
  <r>
    <x v="533"/>
    <n v="6646"/>
    <n v="848"/>
    <n v="15"/>
    <x v="2"/>
    <x v="7"/>
    <x v="1"/>
    <x v="630"/>
    <x v="781"/>
    <x v="2"/>
    <x v="5"/>
    <x v="21"/>
  </r>
  <r>
    <x v="533"/>
    <n v="6646"/>
    <n v="848"/>
    <n v="15"/>
    <x v="2"/>
    <x v="7"/>
    <x v="1"/>
    <x v="631"/>
    <x v="782"/>
    <x v="2"/>
    <x v="2"/>
    <x v="17"/>
  </r>
  <r>
    <x v="534"/>
    <n v="2553"/>
    <n v="907"/>
    <n v="6"/>
    <x v="0"/>
    <x v="3"/>
    <x v="3"/>
    <x v="632"/>
    <x v="783"/>
    <x v="4"/>
    <x v="8"/>
    <x v="0"/>
  </r>
  <r>
    <x v="535"/>
    <n v="8490"/>
    <n v="3485"/>
    <n v="3"/>
    <x v="0"/>
    <x v="10"/>
    <x v="3"/>
    <x v="150"/>
    <x v="784"/>
    <x v="2"/>
    <x v="5"/>
    <x v="45"/>
  </r>
  <r>
    <x v="536"/>
    <n v="2689"/>
    <n v="1330"/>
    <n v="3"/>
    <x v="2"/>
    <x v="4"/>
    <x v="0"/>
    <x v="162"/>
    <x v="785"/>
    <x v="3"/>
    <x v="4"/>
    <x v="50"/>
  </r>
  <r>
    <x v="536"/>
    <n v="2689"/>
    <n v="1330"/>
    <n v="3"/>
    <x v="2"/>
    <x v="4"/>
    <x v="0"/>
    <x v="334"/>
    <x v="786"/>
    <x v="0"/>
    <x v="0"/>
    <x v="3"/>
  </r>
  <r>
    <x v="537"/>
    <n v="815"/>
    <n v="54"/>
    <n v="14"/>
    <x v="2"/>
    <x v="4"/>
    <x v="1"/>
    <x v="633"/>
    <x v="787"/>
    <x v="3"/>
    <x v="11"/>
    <x v="18"/>
  </r>
  <r>
    <x v="538"/>
    <n v="5024"/>
    <n v="379"/>
    <n v="2"/>
    <x v="1"/>
    <x v="8"/>
    <x v="0"/>
    <x v="634"/>
    <x v="788"/>
    <x v="4"/>
    <x v="8"/>
    <x v="44"/>
  </r>
  <r>
    <x v="538"/>
    <n v="5024"/>
    <n v="379"/>
    <n v="2"/>
    <x v="1"/>
    <x v="8"/>
    <x v="0"/>
    <x v="635"/>
    <x v="789"/>
    <x v="1"/>
    <x v="17"/>
    <x v="29"/>
  </r>
  <r>
    <x v="539"/>
    <n v="8962"/>
    <n v="2444"/>
    <n v="18"/>
    <x v="0"/>
    <x v="0"/>
    <x v="1"/>
    <x v="636"/>
    <x v="790"/>
    <x v="5"/>
    <x v="14"/>
    <x v="2"/>
  </r>
  <r>
    <x v="539"/>
    <n v="8962"/>
    <n v="2444"/>
    <n v="18"/>
    <x v="0"/>
    <x v="0"/>
    <x v="1"/>
    <x v="637"/>
    <x v="791"/>
    <x v="1"/>
    <x v="17"/>
    <x v="7"/>
  </r>
  <r>
    <x v="540"/>
    <n v="1961"/>
    <n v="59"/>
    <n v="12"/>
    <x v="1"/>
    <x v="9"/>
    <x v="0"/>
    <x v="638"/>
    <x v="792"/>
    <x v="0"/>
    <x v="3"/>
    <x v="38"/>
  </r>
  <r>
    <x v="541"/>
    <n v="526"/>
    <n v="83"/>
    <n v="4"/>
    <x v="2"/>
    <x v="7"/>
    <x v="3"/>
    <x v="639"/>
    <x v="793"/>
    <x v="1"/>
    <x v="1"/>
    <x v="26"/>
  </r>
  <r>
    <x v="542"/>
    <n v="6093"/>
    <n v="3042"/>
    <n v="9"/>
    <x v="2"/>
    <x v="11"/>
    <x v="1"/>
    <x v="640"/>
    <x v="794"/>
    <x v="3"/>
    <x v="11"/>
    <x v="22"/>
  </r>
  <r>
    <x v="542"/>
    <n v="6093"/>
    <n v="3042"/>
    <n v="9"/>
    <x v="2"/>
    <x v="11"/>
    <x v="1"/>
    <x v="641"/>
    <x v="795"/>
    <x v="3"/>
    <x v="9"/>
    <x v="34"/>
  </r>
  <r>
    <x v="543"/>
    <n v="7699"/>
    <n v="246"/>
    <n v="5"/>
    <x v="0"/>
    <x v="0"/>
    <x v="1"/>
    <x v="642"/>
    <x v="796"/>
    <x v="4"/>
    <x v="10"/>
    <x v="48"/>
  </r>
  <r>
    <x v="544"/>
    <n v="8825"/>
    <n v="3594"/>
    <n v="15"/>
    <x v="2"/>
    <x v="4"/>
    <x v="1"/>
    <x v="643"/>
    <x v="797"/>
    <x v="2"/>
    <x v="5"/>
    <x v="41"/>
  </r>
  <r>
    <x v="545"/>
    <n v="2082"/>
    <n v="642"/>
    <n v="8"/>
    <x v="0"/>
    <x v="10"/>
    <x v="2"/>
    <x v="644"/>
    <x v="798"/>
    <x v="2"/>
    <x v="7"/>
    <x v="53"/>
  </r>
  <r>
    <x v="545"/>
    <n v="2082"/>
    <n v="642"/>
    <n v="8"/>
    <x v="0"/>
    <x v="10"/>
    <x v="2"/>
    <x v="645"/>
    <x v="799"/>
    <x v="4"/>
    <x v="10"/>
    <x v="29"/>
  </r>
  <r>
    <x v="545"/>
    <n v="2082"/>
    <n v="642"/>
    <n v="8"/>
    <x v="0"/>
    <x v="10"/>
    <x v="2"/>
    <x v="646"/>
    <x v="800"/>
    <x v="2"/>
    <x v="2"/>
    <x v="38"/>
  </r>
  <r>
    <x v="546"/>
    <n v="914"/>
    <n v="163"/>
    <n v="13"/>
    <x v="1"/>
    <x v="6"/>
    <x v="0"/>
    <x v="647"/>
    <x v="801"/>
    <x v="1"/>
    <x v="1"/>
    <x v="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6" cacheId="1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8">
  <location ref="E8:F19" firstHeaderRow="1" firstDataRow="1" firstDataCol="1"/>
  <pivotFields count="14">
    <pivotField showAll="0"/>
    <pivotField dataField="1" showAll="0"/>
    <pivotField showAll="0"/>
    <pivotField showAll="0"/>
    <pivotField showAll="0">
      <items count="4">
        <item x="0"/>
        <item x="2"/>
        <item x="1"/>
        <item t="default"/>
      </items>
    </pivotField>
    <pivotField axis="axisRow" showAll="0" measureFilter="1" sortType="descending">
      <items count="13">
        <item x="9"/>
        <item x="11"/>
        <item x="5"/>
        <item x="0"/>
        <item x="3"/>
        <item x="6"/>
        <item x="8"/>
        <item x="2"/>
        <item x="10"/>
        <item x="1"/>
        <item x="7"/>
        <item x="4"/>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11">
    <i>
      <x v="5"/>
    </i>
    <i>
      <x v="11"/>
    </i>
    <i>
      <x v="10"/>
    </i>
    <i>
      <x v="9"/>
    </i>
    <i>
      <x v="3"/>
    </i>
    <i>
      <x v="7"/>
    </i>
    <i>
      <x v="6"/>
    </i>
    <i>
      <x v="8"/>
    </i>
    <i>
      <x v="2"/>
    </i>
    <i>
      <x v="4"/>
    </i>
    <i t="grand">
      <x/>
    </i>
  </rowItems>
  <colItems count="1">
    <i/>
  </colItems>
  <dataFields count="1">
    <dataField name="Sum of Amount" fld="1" baseField="0" baseItem="0" numFmtId="165"/>
  </dataFields>
  <formats count="3">
    <format dxfId="439">
      <pivotArea type="all" dataOnly="0" outline="0" fieldPosition="0"/>
    </format>
    <format dxfId="438">
      <pivotArea outline="0" collapsedLevelsAreSubtotals="1" fieldPosition="0"/>
    </format>
    <format dxfId="437">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021ED0-F6E4-4DBB-867D-4770C7DFF098}" name="PivotTable8" cacheId="1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26:B32" firstHeaderRow="1" firstDataRow="1" firstDataCol="1"/>
  <pivotFields count="14">
    <pivotField showAll="0"/>
    <pivotField showAll="0"/>
    <pivotField showAll="0"/>
    <pivotField dataField="1" showAll="0"/>
    <pivotField showAll="0">
      <items count="4">
        <item x="0"/>
        <item x="2"/>
        <item x="1"/>
        <item t="default"/>
      </items>
    </pivotField>
    <pivotField showAll="0"/>
    <pivotField axis="axisRow" showAll="0">
      <items count="6">
        <item x="4"/>
        <item x="3"/>
        <item x="1"/>
        <item x="2"/>
        <item x="0"/>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s>
  <rowFields count="1">
    <field x="6"/>
  </rowFields>
  <rowItems count="6">
    <i>
      <x/>
    </i>
    <i>
      <x v="1"/>
    </i>
    <i>
      <x v="2"/>
    </i>
    <i>
      <x v="3"/>
    </i>
    <i>
      <x v="4"/>
    </i>
    <i t="grand">
      <x/>
    </i>
  </rowItems>
  <colItems count="1">
    <i/>
  </colItems>
  <dataFields count="1">
    <dataField name="Sum of Quantity" fld="3" showDataAs="percentOfTotal" baseField="6" baseItem="0" numFmtId="10"/>
  </dataFields>
  <formats count="3">
    <format dxfId="442">
      <pivotArea dataOnly="0" labelOnly="1" outline="0" axis="axisValues" fieldPosition="0"/>
    </format>
    <format dxfId="441">
      <pivotArea outline="0" collapsedLevelsAreSubtotals="1" fieldPosition="0"/>
    </format>
    <format dxfId="440">
      <pivotArea outline="0" fieldPosition="0">
        <references count="1">
          <reference field="4294967294" count="1">
            <x v="0"/>
          </reference>
        </references>
      </pivotArea>
    </format>
  </format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6" count="1" selected="0">
            <x v="0"/>
          </reference>
        </references>
      </pivotArea>
    </chartFormat>
    <chartFormat chart="5" format="14">
      <pivotArea type="data" outline="0" fieldPosition="0">
        <references count="2">
          <reference field="4294967294" count="1" selected="0">
            <x v="0"/>
          </reference>
          <reference field="6" count="1" selected="0">
            <x v="1"/>
          </reference>
        </references>
      </pivotArea>
    </chartFormat>
    <chartFormat chart="5" format="15">
      <pivotArea type="data" outline="0" fieldPosition="0">
        <references count="2">
          <reference field="4294967294" count="1" selected="0">
            <x v="0"/>
          </reference>
          <reference field="6" count="1" selected="0">
            <x v="2"/>
          </reference>
        </references>
      </pivotArea>
    </chartFormat>
    <chartFormat chart="5" format="16">
      <pivotArea type="data" outline="0" fieldPosition="0">
        <references count="2">
          <reference field="4294967294" count="1" selected="0">
            <x v="0"/>
          </reference>
          <reference field="6" count="1" selected="0">
            <x v="3"/>
          </reference>
        </references>
      </pivotArea>
    </chartFormat>
    <chartFormat chart="5"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1F1CCB-B29E-467E-97DD-44AF07227A70}" name="PivotTable9" cacheId="1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26:F33" firstHeaderRow="1" firstDataRow="1" firstDataCol="1"/>
  <pivotFields count="14">
    <pivotField showAll="0"/>
    <pivotField dataField="1" showAll="0"/>
    <pivotField showAll="0"/>
    <pivotField showAll="0"/>
    <pivotField showAll="0">
      <items count="4">
        <item x="0"/>
        <item x="2"/>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axis="axisRow" showAll="0">
      <items count="7">
        <item x="3"/>
        <item x="0"/>
        <item x="1"/>
        <item x="2"/>
        <item x="5"/>
        <item x="4"/>
        <item t="default"/>
      </items>
    </pivotField>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s>
  <rowFields count="1">
    <field x="9"/>
  </rowFields>
  <rowItems count="7">
    <i>
      <x/>
    </i>
    <i>
      <x v="1"/>
    </i>
    <i>
      <x v="2"/>
    </i>
    <i>
      <x v="3"/>
    </i>
    <i>
      <x v="4"/>
    </i>
    <i>
      <x v="5"/>
    </i>
    <i t="grand">
      <x/>
    </i>
  </rowItems>
  <colItems count="1">
    <i/>
  </colItems>
  <dataFields count="1">
    <dataField name="Sum of Amount" fld="1" baseField="0" baseItem="0" numFmtId="165"/>
  </dataFields>
  <formats count="3">
    <format dxfId="444">
      <pivotArea type="all" dataOnly="0" outline="0" fieldPosition="0"/>
    </format>
    <format dxfId="443">
      <pivotArea dataOnly="0" labelOnly="1" outline="0" axis="axisValues" fieldPosition="0"/>
    </format>
    <format dxfId="3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1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G3:G4" firstHeaderRow="1" firstDataRow="1" firstDataCol="0"/>
  <pivotFields count="14">
    <pivotField showAll="0"/>
    <pivotField showAll="0"/>
    <pivotField dataField="1" showAll="0"/>
    <pivotField showAll="0"/>
    <pivotField showAll="0">
      <items count="4">
        <item x="0"/>
        <item x="2"/>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Sum of Profit" fld="2" baseField="0" baseItem="0"/>
  </dataFields>
  <formats count="3">
    <format dxfId="447">
      <pivotArea type="all" dataOnly="0" outline="0" fieldPosition="0"/>
    </format>
    <format dxfId="446">
      <pivotArea outline="0" collapsedLevelsAreSubtotals="1" fieldPosition="0"/>
    </format>
    <format dxfId="4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1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C3:C4" firstHeaderRow="1" firstDataRow="1" firstDataCol="0"/>
  <pivotFields count="14">
    <pivotField showAll="0"/>
    <pivotField showAll="0"/>
    <pivotField showAll="0"/>
    <pivotField dataField="1" showAll="0"/>
    <pivotField showAll="0">
      <items count="4">
        <item x="0"/>
        <item x="2"/>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Sum of Quantity" fld="3" baseField="0" baseItem="0"/>
  </dataFields>
  <formats count="2">
    <format dxfId="449">
      <pivotArea dataOnly="0" labelOnly="1" outline="0" axis="axisValues" fieldPosition="0"/>
    </format>
    <format dxfId="4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DCB8F4-7AD8-43CE-B11C-D3C84DF4C474}" name="PivotTable10" cacheId="1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H17:I28" firstHeaderRow="1" firstDataRow="1" firstDataCol="1"/>
  <pivotFields count="14">
    <pivotField showAll="0"/>
    <pivotField showAll="0"/>
    <pivotField showAll="0"/>
    <pivotField dataField="1" showAll="0"/>
    <pivotField showAll="0">
      <items count="4">
        <item x="0"/>
        <item x="2"/>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axis="axisRow" showAll="0" measureFilter="1" sortType="ascending">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autoSortScope>
        <pivotArea dataOnly="0" outline="0" fieldPosition="0">
          <references count="1">
            <reference field="4294967294" count="1" selected="0">
              <x v="0"/>
            </reference>
          </references>
        </pivotArea>
      </autoSortScope>
    </pivotField>
    <pivotField showAll="0"/>
    <pivotField showAll="0" measureFilter="1" sortType="ascending">
      <items count="19">
        <item x="10"/>
        <item x="2"/>
        <item x="1"/>
        <item x="13"/>
        <item x="14"/>
        <item x="12"/>
        <item x="8"/>
        <item x="15"/>
        <item x="4"/>
        <item x="0"/>
        <item x="5"/>
        <item x="3"/>
        <item x="17"/>
        <item x="7"/>
        <item x="9"/>
        <item x="11"/>
        <item x="6"/>
        <item x="16"/>
        <item t="default"/>
      </items>
      <autoSortScope>
        <pivotArea dataOnly="0" outline="0" fieldPosition="0">
          <references count="1">
            <reference field="4294967294" count="1" selected="0">
              <x v="0"/>
            </reference>
          </references>
        </pivotArea>
      </autoSortScope>
    </pivotField>
    <pivotField showAll="0"/>
    <pivotField showAll="0">
      <items count="7">
        <item x="0"/>
        <item x="1"/>
        <item x="2"/>
        <item x="3"/>
        <item x="4"/>
        <item x="5"/>
        <item t="default"/>
      </items>
    </pivotField>
    <pivotField showAll="0">
      <items count="9">
        <item x="0"/>
        <item x="1"/>
        <item x="2"/>
        <item x="3"/>
        <item x="4"/>
        <item x="5"/>
        <item x="6"/>
        <item x="7"/>
        <item t="default"/>
      </items>
    </pivotField>
  </pivotFields>
  <rowFields count="1">
    <field x="8"/>
  </rowFields>
  <rowItems count="11">
    <i>
      <x v="739"/>
    </i>
    <i>
      <x v="540"/>
    </i>
    <i>
      <x v="313"/>
    </i>
    <i>
      <x v="163"/>
    </i>
    <i>
      <x v="278"/>
    </i>
    <i>
      <x v="416"/>
    </i>
    <i>
      <x v="669"/>
    </i>
    <i>
      <x v="523"/>
    </i>
    <i>
      <x v="178"/>
    </i>
    <i>
      <x v="229"/>
    </i>
    <i t="grand">
      <x/>
    </i>
  </rowItems>
  <colItems count="1">
    <i/>
  </colItems>
  <dataFields count="1">
    <dataField name="Sum of Quantity" fld="3" baseField="0" baseItem="0" numFmtId="164"/>
  </dataFields>
  <formats count="3">
    <format dxfId="452">
      <pivotArea type="all" dataOnly="0" outline="0" fieldPosition="0"/>
    </format>
    <format dxfId="451">
      <pivotArea dataOnly="0" labelOnly="1" outline="0" axis="axisValues" fieldPosition="0"/>
    </format>
    <format dxfId="450">
      <pivotArea outline="0" collapsedLevelsAreSubtotals="1" fieldPosition="0"/>
    </format>
  </formats>
  <chartFormats count="4">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0" type="count" evalOrder="-1" id="2" iMeasureFld="0">
      <autoFilter ref="A1">
        <filterColumn colId="0">
          <top10 val="5" filterVal="5"/>
        </filterColumn>
      </autoFilter>
    </filter>
    <filter fld="8"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7" cacheId="1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H8:I14" firstHeaderRow="1" firstDataRow="1" firstDataCol="1"/>
  <pivotFields count="14">
    <pivotField showAll="0"/>
    <pivotField showAll="0"/>
    <pivotField showAll="0"/>
    <pivotField dataField="1" showAll="0"/>
    <pivotField showAll="0">
      <items count="4">
        <item x="0"/>
        <item x="2"/>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measureFilter="1" sortType="ascending">
      <items count="19">
        <item x="10"/>
        <item x="2"/>
        <item x="1"/>
        <item x="13"/>
        <item x="14"/>
        <item x="12"/>
        <item x="8"/>
        <item x="15"/>
        <item x="4"/>
        <item x="0"/>
        <item x="5"/>
        <item x="3"/>
        <item x="17"/>
        <item x="7"/>
        <item x="9"/>
        <item x="11"/>
        <item x="6"/>
        <item x="16"/>
        <item t="default"/>
      </items>
      <autoSortScope>
        <pivotArea dataOnly="0" outline="0" fieldPosition="0">
          <references count="1">
            <reference field="4294967294" count="1" selected="0">
              <x v="0"/>
            </reference>
          </references>
        </pivotArea>
      </autoSortScope>
    </pivotField>
    <pivotField showAll="0"/>
    <pivotField showAll="0">
      <items count="7">
        <item x="0"/>
        <item x="1"/>
        <item x="2"/>
        <item x="3"/>
        <item x="4"/>
        <item x="5"/>
        <item t="default"/>
      </items>
    </pivotField>
    <pivotField showAll="0">
      <items count="9">
        <item x="0"/>
        <item x="1"/>
        <item x="2"/>
        <item x="3"/>
        <item x="4"/>
        <item x="5"/>
        <item x="6"/>
        <item x="7"/>
        <item t="default"/>
      </items>
    </pivotField>
  </pivotFields>
  <rowFields count="1">
    <field x="10"/>
  </rowFields>
  <rowItems count="6">
    <i>
      <x v="4"/>
    </i>
    <i>
      <x v="11"/>
    </i>
    <i>
      <x v="13"/>
    </i>
    <i>
      <x v="15"/>
    </i>
    <i>
      <x v="1"/>
    </i>
    <i t="grand">
      <x/>
    </i>
  </rowItems>
  <colItems count="1">
    <i/>
  </colItems>
  <dataFields count="1">
    <dataField name="Sum of Quantity" fld="3" baseField="0" baseItem="0" numFmtId="164"/>
  </dataFields>
  <formats count="3">
    <format dxfId="455">
      <pivotArea type="all" dataOnly="0" outline="0" fieldPosition="0"/>
    </format>
    <format dxfId="454">
      <pivotArea dataOnly="0" labelOnly="1" outline="0" axis="axisValues" fieldPosition="0"/>
    </format>
    <format dxfId="453">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pivotFields count="14">
    <pivotField showAll="0"/>
    <pivotField showAll="0"/>
    <pivotField showAll="0"/>
    <pivotField showAll="0"/>
    <pivotField showAll="0">
      <items count="4">
        <item x="0"/>
        <item x="2"/>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Count of CustomerName" fld="8" subtotal="count" baseField="0" baseItem="0" numFmtId="164"/>
  </dataFields>
  <formats count="2">
    <format dxfId="457">
      <pivotArea dataOnly="0" labelOnly="1" outline="0" axis="axisValues" fieldPosition="0"/>
    </format>
    <format dxfId="4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1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A8:C21" firstHeaderRow="0" firstDataRow="1" firstDataCol="1"/>
  <pivotFields count="14">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dataField="1" showAll="0"/>
    <pivotField dataField="1" showAll="0"/>
    <pivotField showAll="0"/>
    <pivotField showAll="0">
      <items count="4">
        <item x="0"/>
        <item x="2"/>
        <item x="1"/>
        <item t="default"/>
      </items>
    </pivotField>
    <pivotField showAll="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7"/>
  </rowFields>
  <rowItems count="13">
    <i>
      <x v="1"/>
    </i>
    <i>
      <x v="2"/>
    </i>
    <i>
      <x v="3"/>
    </i>
    <i>
      <x v="4"/>
    </i>
    <i>
      <x v="5"/>
    </i>
    <i>
      <x v="6"/>
    </i>
    <i>
      <x v="7"/>
    </i>
    <i>
      <x v="8"/>
    </i>
    <i>
      <x v="9"/>
    </i>
    <i>
      <x v="10"/>
    </i>
    <i>
      <x v="11"/>
    </i>
    <i>
      <x v="12"/>
    </i>
    <i t="grand">
      <x/>
    </i>
  </rowItems>
  <colFields count="1">
    <field x="-2"/>
  </colFields>
  <colItems count="2">
    <i>
      <x/>
    </i>
    <i i="1">
      <x v="1"/>
    </i>
  </colItems>
  <dataFields count="2">
    <dataField name="Sum of Amount" fld="1" baseField="0" baseItem="0"/>
    <dataField name="Sum of Profit" fld="2" baseField="0" baseItem="0"/>
  </dataFields>
  <formats count="3">
    <format dxfId="460">
      <pivotArea dataOnly="0" labelOnly="1" outline="0" axis="axisValues" fieldPosition="0"/>
    </format>
    <format dxfId="459">
      <pivotArea outline="0" collapsedLevelsAreSubtotals="1" fieldPosition="0"/>
    </format>
    <format dxfId="458">
      <pivotArea dataOnly="0" labelOnly="1" outline="0" fieldPosition="0">
        <references count="1">
          <reference field="4294967294" count="1">
            <x v="0"/>
          </reference>
        </references>
      </pivotArea>
    </format>
  </formats>
  <chartFormats count="2">
    <chartFormat chart="5"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1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3:E4" firstHeaderRow="1" firstDataRow="1" firstDataCol="0"/>
  <pivotFields count="14">
    <pivotField showAll="0"/>
    <pivotField dataField="1" showAll="0"/>
    <pivotField showAll="0"/>
    <pivotField showAll="0"/>
    <pivotField showAll="0">
      <items count="4">
        <item x="0"/>
        <item x="2"/>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Sum of Amount" fld="1" baseField="0" baseItem="0" numFmtId="165"/>
  </dataFields>
  <formats count="3">
    <format dxfId="463">
      <pivotArea type="all" dataOnly="0" outline="0" fieldPosition="0"/>
    </format>
    <format dxfId="462">
      <pivotArea outline="0" collapsedLevelsAreSubtotals="1" fieldPosition="0"/>
    </format>
    <format dxfId="4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958574AF-5507-4244-8605-AC13D7B0370C}" sourceName="Years">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505905994">
      <items count="8">
        <i x="1" s="1"/>
        <i x="2" s="1"/>
        <i x="3" s="1"/>
        <i x="4" s="1"/>
        <i x="5" s="1"/>
        <i x="6" s="1"/>
        <i x="0" s="1" nd="1"/>
        <i x="7"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AB857CE-C5A0-40B8-AB06-EE414048A1ED}" sourceName="Category">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s>
  <data>
    <tabular pivotCacheId="150590599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2" xr10:uid="{EB56044E-5415-4D3D-A759-95DDCAD47A28}" cache="Slicer_Years" caption="Years" style="SlicerStyleDark1" rowHeight="182880"/>
  <slicer name="Category" xr10:uid="{CDE90049-F408-4C42-81D0-CB9ECCF97AE0}" cache="Slicer_Category" caption="Category"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1195" totalsRowShown="0">
  <autoFilter ref="A1:L1195" xr:uid="{00000000-0009-0000-0100-000001000000}"/>
  <tableColumns count="12">
    <tableColumn id="1" xr3:uid="{00000000-0010-0000-0000-000001000000}" name="Order ID"/>
    <tableColumn id="2" xr3:uid="{00000000-0010-0000-0000-000002000000}" name="Amount" dataDxfId="471"/>
    <tableColumn id="3" xr3:uid="{00000000-0010-0000-0000-000003000000}" name="Profit" dataDxfId="470"/>
    <tableColumn id="4" xr3:uid="{00000000-0010-0000-0000-000004000000}" name="Quantity" dataDxfId="469"/>
    <tableColumn id="5" xr3:uid="{00000000-0010-0000-0000-000005000000}" name="Category" dataDxfId="468"/>
    <tableColumn id="6" xr3:uid="{00000000-0010-0000-0000-000006000000}" name="Sub-Category" dataDxfId="467"/>
    <tableColumn id="7" xr3:uid="{00000000-0010-0000-0000-000007000000}" name="PaymentMode"/>
    <tableColumn id="8" xr3:uid="{00000000-0010-0000-0000-000008000000}" name="Order Date" dataDxfId="466"/>
    <tableColumn id="9" xr3:uid="{00000000-0010-0000-0000-000009000000}" name="CustomerName" dataDxfId="465"/>
    <tableColumn id="10" xr3:uid="{00000000-0010-0000-0000-00000A000000}" name="State"/>
    <tableColumn id="11" xr3:uid="{00000000-0010-0000-0000-00000B000000}" name="City"/>
    <tableColumn id="12" xr3:uid="{00000000-0010-0000-0000-00000C000000}" name="Year-Month" dataDxfId="46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95"/>
  <sheetViews>
    <sheetView workbookViewId="0">
      <selection activeCell="J1" sqref="J1:K1048576"/>
    </sheetView>
  </sheetViews>
  <sheetFormatPr defaultRowHeight="14.5" x14ac:dyDescent="0.35"/>
  <cols>
    <col min="1" max="1" width="10" customWidth="1"/>
    <col min="2" max="2" width="9.6328125" style="10" customWidth="1"/>
    <col min="3" max="3" width="8.7265625" style="10"/>
    <col min="4" max="4" width="10.1796875" style="10" customWidth="1"/>
    <col min="5" max="5" width="10.26953125" style="11" customWidth="1"/>
    <col min="6" max="6" width="14" style="11" customWidth="1"/>
    <col min="7" max="7" width="15.1796875" customWidth="1"/>
    <col min="8" max="8" width="12.1796875" style="12" customWidth="1"/>
    <col min="9" max="9" width="27.36328125" style="14" customWidth="1"/>
    <col min="12" max="12" width="12.90625" style="12" customWidth="1"/>
  </cols>
  <sheetData>
    <row r="1" spans="1:12" x14ac:dyDescent="0.35">
      <c r="A1" t="s">
        <v>0</v>
      </c>
      <c r="B1" s="10" t="s">
        <v>1</v>
      </c>
      <c r="C1" s="10" t="s">
        <v>2</v>
      </c>
      <c r="D1" s="10" t="s">
        <v>3</v>
      </c>
      <c r="E1" s="11" t="s">
        <v>4</v>
      </c>
      <c r="F1" s="11" t="s">
        <v>5</v>
      </c>
      <c r="G1" t="s">
        <v>6</v>
      </c>
      <c r="H1" s="12" t="s">
        <v>7</v>
      </c>
      <c r="I1" s="14" t="s">
        <v>8</v>
      </c>
      <c r="J1" t="s">
        <v>9</v>
      </c>
      <c r="K1" t="s">
        <v>10</v>
      </c>
      <c r="L1" s="12" t="s">
        <v>11</v>
      </c>
    </row>
    <row r="2" spans="1:12" x14ac:dyDescent="0.35">
      <c r="A2" t="s">
        <v>12</v>
      </c>
      <c r="B2" s="10">
        <v>9726</v>
      </c>
      <c r="C2" s="10">
        <v>1275</v>
      </c>
      <c r="D2" s="10">
        <v>5</v>
      </c>
      <c r="E2" s="11" t="s">
        <v>13</v>
      </c>
      <c r="F2" s="11" t="s">
        <v>14</v>
      </c>
      <c r="G2" t="s">
        <v>15</v>
      </c>
      <c r="H2" s="13">
        <v>45104</v>
      </c>
      <c r="I2" s="14" t="s">
        <v>16</v>
      </c>
      <c r="J2" t="s">
        <v>17</v>
      </c>
      <c r="K2" t="s">
        <v>18</v>
      </c>
      <c r="L2" s="12" t="s">
        <v>19</v>
      </c>
    </row>
    <row r="3" spans="1:12" x14ac:dyDescent="0.35">
      <c r="A3" t="s">
        <v>12</v>
      </c>
      <c r="B3" s="10">
        <v>9726</v>
      </c>
      <c r="C3" s="10">
        <v>1275</v>
      </c>
      <c r="D3" s="10">
        <v>5</v>
      </c>
      <c r="E3" s="11" t="s">
        <v>13</v>
      </c>
      <c r="F3" s="11" t="s">
        <v>14</v>
      </c>
      <c r="G3" t="s">
        <v>15</v>
      </c>
      <c r="H3" s="13">
        <v>45653</v>
      </c>
      <c r="I3" s="14" t="s">
        <v>20</v>
      </c>
      <c r="J3" t="s">
        <v>21</v>
      </c>
      <c r="K3" t="s">
        <v>22</v>
      </c>
      <c r="L3" s="12" t="s">
        <v>23</v>
      </c>
    </row>
    <row r="4" spans="1:12" x14ac:dyDescent="0.35">
      <c r="A4" t="s">
        <v>12</v>
      </c>
      <c r="B4" s="10">
        <v>9726</v>
      </c>
      <c r="C4" s="10">
        <v>1275</v>
      </c>
      <c r="D4" s="10">
        <v>5</v>
      </c>
      <c r="E4" s="11" t="s">
        <v>13</v>
      </c>
      <c r="F4" s="11" t="s">
        <v>14</v>
      </c>
      <c r="G4" t="s">
        <v>15</v>
      </c>
      <c r="H4" s="13">
        <v>44402</v>
      </c>
      <c r="I4" s="14" t="s">
        <v>24</v>
      </c>
      <c r="J4" t="s">
        <v>25</v>
      </c>
      <c r="K4" t="s">
        <v>26</v>
      </c>
      <c r="L4" s="12" t="s">
        <v>27</v>
      </c>
    </row>
    <row r="5" spans="1:12" x14ac:dyDescent="0.35">
      <c r="A5" t="s">
        <v>12</v>
      </c>
      <c r="B5" s="10">
        <v>4975</v>
      </c>
      <c r="C5" s="10">
        <v>1330</v>
      </c>
      <c r="D5" s="10">
        <v>14</v>
      </c>
      <c r="E5" s="11" t="s">
        <v>13</v>
      </c>
      <c r="F5" s="11" t="s">
        <v>28</v>
      </c>
      <c r="G5" t="s">
        <v>15</v>
      </c>
      <c r="H5" s="13">
        <v>45104</v>
      </c>
      <c r="I5" s="14" t="s">
        <v>16</v>
      </c>
      <c r="J5" t="s">
        <v>17</v>
      </c>
      <c r="K5" t="s">
        <v>18</v>
      </c>
      <c r="L5" s="12" t="s">
        <v>19</v>
      </c>
    </row>
    <row r="6" spans="1:12" x14ac:dyDescent="0.35">
      <c r="A6" t="s">
        <v>12</v>
      </c>
      <c r="B6" s="10">
        <v>4975</v>
      </c>
      <c r="C6" s="10">
        <v>1330</v>
      </c>
      <c r="D6" s="10">
        <v>14</v>
      </c>
      <c r="E6" s="11" t="s">
        <v>13</v>
      </c>
      <c r="F6" s="11" t="s">
        <v>28</v>
      </c>
      <c r="G6" t="s">
        <v>15</v>
      </c>
      <c r="H6" s="13">
        <v>45653</v>
      </c>
      <c r="I6" s="14" t="s">
        <v>20</v>
      </c>
      <c r="J6" t="s">
        <v>21</v>
      </c>
      <c r="K6" t="s">
        <v>22</v>
      </c>
      <c r="L6" s="12" t="s">
        <v>23</v>
      </c>
    </row>
    <row r="7" spans="1:12" x14ac:dyDescent="0.35">
      <c r="A7" t="s">
        <v>12</v>
      </c>
      <c r="B7" s="10">
        <v>4975</v>
      </c>
      <c r="C7" s="10">
        <v>1330</v>
      </c>
      <c r="D7" s="10">
        <v>14</v>
      </c>
      <c r="E7" s="11" t="s">
        <v>13</v>
      </c>
      <c r="F7" s="11" t="s">
        <v>28</v>
      </c>
      <c r="G7" t="s">
        <v>15</v>
      </c>
      <c r="H7" s="13">
        <v>44402</v>
      </c>
      <c r="I7" s="14" t="s">
        <v>24</v>
      </c>
      <c r="J7" t="s">
        <v>25</v>
      </c>
      <c r="K7" t="s">
        <v>26</v>
      </c>
      <c r="L7" s="12" t="s">
        <v>27</v>
      </c>
    </row>
    <row r="8" spans="1:12" x14ac:dyDescent="0.35">
      <c r="A8" t="s">
        <v>29</v>
      </c>
      <c r="B8" s="10">
        <v>1525</v>
      </c>
      <c r="C8" s="10">
        <v>185</v>
      </c>
      <c r="D8" s="10">
        <v>12</v>
      </c>
      <c r="E8" s="11" t="s">
        <v>30</v>
      </c>
      <c r="F8" s="11" t="s">
        <v>31</v>
      </c>
      <c r="G8" t="s">
        <v>32</v>
      </c>
      <c r="H8" s="13">
        <v>45423</v>
      </c>
      <c r="I8" s="14" t="s">
        <v>33</v>
      </c>
      <c r="J8" t="s">
        <v>17</v>
      </c>
      <c r="K8" t="s">
        <v>34</v>
      </c>
      <c r="L8" s="12" t="s">
        <v>35</v>
      </c>
    </row>
    <row r="9" spans="1:12" x14ac:dyDescent="0.35">
      <c r="A9" t="s">
        <v>29</v>
      </c>
      <c r="B9" s="10">
        <v>1525</v>
      </c>
      <c r="C9" s="10">
        <v>185</v>
      </c>
      <c r="D9" s="10">
        <v>12</v>
      </c>
      <c r="E9" s="11" t="s">
        <v>30</v>
      </c>
      <c r="F9" s="11" t="s">
        <v>31</v>
      </c>
      <c r="G9" t="s">
        <v>32</v>
      </c>
      <c r="H9" s="13">
        <v>44478</v>
      </c>
      <c r="I9" s="14" t="s">
        <v>36</v>
      </c>
      <c r="J9" t="s">
        <v>17</v>
      </c>
      <c r="K9" t="s">
        <v>18</v>
      </c>
      <c r="L9" s="12" t="s">
        <v>37</v>
      </c>
    </row>
    <row r="10" spans="1:12" x14ac:dyDescent="0.35">
      <c r="A10" t="s">
        <v>38</v>
      </c>
      <c r="B10" s="10">
        <v>883</v>
      </c>
      <c r="C10" s="10">
        <v>117</v>
      </c>
      <c r="D10" s="10">
        <v>10</v>
      </c>
      <c r="E10" s="11" t="s">
        <v>13</v>
      </c>
      <c r="F10" s="11" t="s">
        <v>39</v>
      </c>
      <c r="G10" t="s">
        <v>40</v>
      </c>
      <c r="H10" s="13">
        <v>44883</v>
      </c>
      <c r="I10" s="14" t="s">
        <v>41</v>
      </c>
      <c r="J10" t="s">
        <v>42</v>
      </c>
      <c r="K10" t="s">
        <v>43</v>
      </c>
      <c r="L10" s="12" t="s">
        <v>44</v>
      </c>
    </row>
    <row r="11" spans="1:12" x14ac:dyDescent="0.35">
      <c r="A11" t="s">
        <v>38</v>
      </c>
      <c r="B11" s="10">
        <v>8127</v>
      </c>
      <c r="C11" s="10">
        <v>3551</v>
      </c>
      <c r="D11" s="10">
        <v>16</v>
      </c>
      <c r="E11" s="11" t="s">
        <v>45</v>
      </c>
      <c r="F11" s="11" t="s">
        <v>46</v>
      </c>
      <c r="G11" t="s">
        <v>47</v>
      </c>
      <c r="H11" s="13">
        <v>44883</v>
      </c>
      <c r="I11" s="14" t="s">
        <v>41</v>
      </c>
      <c r="J11" t="s">
        <v>42</v>
      </c>
      <c r="K11" t="s">
        <v>43</v>
      </c>
      <c r="L11" s="12" t="s">
        <v>44</v>
      </c>
    </row>
    <row r="12" spans="1:12" x14ac:dyDescent="0.35">
      <c r="A12" t="s">
        <v>48</v>
      </c>
      <c r="B12" s="10">
        <v>2516</v>
      </c>
      <c r="C12" s="10">
        <v>734</v>
      </c>
      <c r="D12" s="10">
        <v>19</v>
      </c>
      <c r="E12" s="11" t="s">
        <v>45</v>
      </c>
      <c r="F12" s="11" t="s">
        <v>49</v>
      </c>
      <c r="G12" t="s">
        <v>15</v>
      </c>
      <c r="H12" s="13">
        <v>45242</v>
      </c>
      <c r="I12" s="14" t="s">
        <v>50</v>
      </c>
      <c r="J12" t="s">
        <v>25</v>
      </c>
      <c r="K12" t="s">
        <v>51</v>
      </c>
      <c r="L12" s="12" t="s">
        <v>52</v>
      </c>
    </row>
    <row r="13" spans="1:12" x14ac:dyDescent="0.35">
      <c r="A13" t="s">
        <v>53</v>
      </c>
      <c r="B13" s="10">
        <v>2975</v>
      </c>
      <c r="C13" s="10">
        <v>462</v>
      </c>
      <c r="D13" s="10">
        <v>14</v>
      </c>
      <c r="E13" s="11" t="s">
        <v>30</v>
      </c>
      <c r="F13" s="11" t="s">
        <v>31</v>
      </c>
      <c r="G13" t="s">
        <v>47</v>
      </c>
      <c r="H13" s="13">
        <v>43913</v>
      </c>
      <c r="I13" s="14" t="s">
        <v>54</v>
      </c>
      <c r="J13" t="s">
        <v>25</v>
      </c>
      <c r="K13" t="s">
        <v>51</v>
      </c>
      <c r="L13" s="12" t="s">
        <v>55</v>
      </c>
    </row>
    <row r="14" spans="1:12" x14ac:dyDescent="0.35">
      <c r="A14" t="s">
        <v>56</v>
      </c>
      <c r="B14" s="10">
        <v>6851</v>
      </c>
      <c r="C14" s="10">
        <v>2812</v>
      </c>
      <c r="D14" s="10">
        <v>1</v>
      </c>
      <c r="E14" s="11" t="s">
        <v>30</v>
      </c>
      <c r="F14" s="11" t="s">
        <v>57</v>
      </c>
      <c r="G14" t="s">
        <v>32</v>
      </c>
      <c r="H14" s="13">
        <v>43955</v>
      </c>
      <c r="I14" s="14" t="s">
        <v>58</v>
      </c>
      <c r="J14" t="s">
        <v>17</v>
      </c>
      <c r="K14" t="s">
        <v>34</v>
      </c>
      <c r="L14" s="12" t="s">
        <v>59</v>
      </c>
    </row>
    <row r="15" spans="1:12" x14ac:dyDescent="0.35">
      <c r="A15" t="s">
        <v>56</v>
      </c>
      <c r="B15" s="10">
        <v>7626</v>
      </c>
      <c r="C15" s="10">
        <v>1046</v>
      </c>
      <c r="D15" s="10">
        <v>15</v>
      </c>
      <c r="E15" s="11" t="s">
        <v>45</v>
      </c>
      <c r="F15" s="11" t="s">
        <v>60</v>
      </c>
      <c r="G15" t="s">
        <v>47</v>
      </c>
      <c r="H15" s="13">
        <v>43955</v>
      </c>
      <c r="I15" s="14" t="s">
        <v>58</v>
      </c>
      <c r="J15" t="s">
        <v>17</v>
      </c>
      <c r="K15" t="s">
        <v>34</v>
      </c>
      <c r="L15" s="12" t="s">
        <v>59</v>
      </c>
    </row>
    <row r="16" spans="1:12" x14ac:dyDescent="0.35">
      <c r="A16" t="s">
        <v>56</v>
      </c>
      <c r="B16" s="10">
        <v>1023</v>
      </c>
      <c r="C16" s="10">
        <v>78</v>
      </c>
      <c r="D16" s="10">
        <v>9</v>
      </c>
      <c r="E16" s="11" t="s">
        <v>45</v>
      </c>
      <c r="F16" s="11" t="s">
        <v>46</v>
      </c>
      <c r="G16" t="s">
        <v>15</v>
      </c>
      <c r="H16" s="13">
        <v>43955</v>
      </c>
      <c r="I16" s="14" t="s">
        <v>58</v>
      </c>
      <c r="J16" t="s">
        <v>17</v>
      </c>
      <c r="K16" t="s">
        <v>34</v>
      </c>
      <c r="L16" s="12" t="s">
        <v>59</v>
      </c>
    </row>
    <row r="17" spans="1:12" x14ac:dyDescent="0.35">
      <c r="A17" t="s">
        <v>61</v>
      </c>
      <c r="B17" s="10">
        <v>7600</v>
      </c>
      <c r="C17" s="10">
        <v>1098</v>
      </c>
      <c r="D17" s="10">
        <v>10</v>
      </c>
      <c r="E17" s="11" t="s">
        <v>30</v>
      </c>
      <c r="F17" s="11" t="s">
        <v>31</v>
      </c>
      <c r="G17" t="s">
        <v>15</v>
      </c>
      <c r="H17" s="13">
        <v>45239</v>
      </c>
      <c r="I17" s="14" t="s">
        <v>62</v>
      </c>
      <c r="J17" t="s">
        <v>21</v>
      </c>
      <c r="K17" t="s">
        <v>63</v>
      </c>
      <c r="L17" s="12" t="s">
        <v>52</v>
      </c>
    </row>
    <row r="18" spans="1:12" x14ac:dyDescent="0.35">
      <c r="A18" t="s">
        <v>61</v>
      </c>
      <c r="B18" s="10">
        <v>7501</v>
      </c>
      <c r="C18" s="10">
        <v>262</v>
      </c>
      <c r="D18" s="10">
        <v>18</v>
      </c>
      <c r="E18" s="11" t="s">
        <v>30</v>
      </c>
      <c r="F18" s="11" t="s">
        <v>64</v>
      </c>
      <c r="G18" t="s">
        <v>65</v>
      </c>
      <c r="H18" s="13">
        <v>45239</v>
      </c>
      <c r="I18" s="14" t="s">
        <v>62</v>
      </c>
      <c r="J18" t="s">
        <v>21</v>
      </c>
      <c r="K18" t="s">
        <v>63</v>
      </c>
      <c r="L18" s="12" t="s">
        <v>52</v>
      </c>
    </row>
    <row r="19" spans="1:12" x14ac:dyDescent="0.35">
      <c r="A19" t="s">
        <v>66</v>
      </c>
      <c r="B19" s="10">
        <v>725</v>
      </c>
      <c r="C19" s="10">
        <v>133</v>
      </c>
      <c r="D19" s="10">
        <v>6</v>
      </c>
      <c r="E19" s="11" t="s">
        <v>30</v>
      </c>
      <c r="F19" s="11" t="s">
        <v>64</v>
      </c>
      <c r="G19" t="s">
        <v>47</v>
      </c>
      <c r="H19" s="13">
        <v>45656</v>
      </c>
      <c r="I19" s="14" t="s">
        <v>67</v>
      </c>
      <c r="J19" t="s">
        <v>25</v>
      </c>
      <c r="K19" t="s">
        <v>68</v>
      </c>
      <c r="L19" s="12" t="s">
        <v>23</v>
      </c>
    </row>
    <row r="20" spans="1:12" x14ac:dyDescent="0.35">
      <c r="A20" t="s">
        <v>66</v>
      </c>
      <c r="B20" s="10">
        <v>7201</v>
      </c>
      <c r="C20" s="10">
        <v>2685</v>
      </c>
      <c r="D20" s="10">
        <v>2</v>
      </c>
      <c r="E20" s="11" t="s">
        <v>45</v>
      </c>
      <c r="F20" s="11" t="s">
        <v>46</v>
      </c>
      <c r="G20" t="s">
        <v>47</v>
      </c>
      <c r="H20" s="13">
        <v>45656</v>
      </c>
      <c r="I20" s="14" t="s">
        <v>67</v>
      </c>
      <c r="J20" t="s">
        <v>25</v>
      </c>
      <c r="K20" t="s">
        <v>68</v>
      </c>
      <c r="L20" s="12" t="s">
        <v>23</v>
      </c>
    </row>
    <row r="21" spans="1:12" x14ac:dyDescent="0.35">
      <c r="A21" t="s">
        <v>69</v>
      </c>
      <c r="B21" s="10">
        <v>1629</v>
      </c>
      <c r="C21" s="10">
        <v>265</v>
      </c>
      <c r="D21" s="10">
        <v>1</v>
      </c>
      <c r="E21" s="11" t="s">
        <v>30</v>
      </c>
      <c r="F21" s="11" t="s">
        <v>64</v>
      </c>
      <c r="G21" t="s">
        <v>15</v>
      </c>
      <c r="H21" s="13">
        <v>45699</v>
      </c>
      <c r="I21" s="14" t="s">
        <v>70</v>
      </c>
      <c r="J21" t="s">
        <v>71</v>
      </c>
      <c r="K21" t="s">
        <v>72</v>
      </c>
      <c r="L21" s="12" t="s">
        <v>73</v>
      </c>
    </row>
    <row r="22" spans="1:12" x14ac:dyDescent="0.35">
      <c r="A22" t="s">
        <v>69</v>
      </c>
      <c r="B22" s="10">
        <v>1629</v>
      </c>
      <c r="C22" s="10">
        <v>265</v>
      </c>
      <c r="D22" s="10">
        <v>1</v>
      </c>
      <c r="E22" s="11" t="s">
        <v>30</v>
      </c>
      <c r="F22" s="11" t="s">
        <v>64</v>
      </c>
      <c r="G22" t="s">
        <v>15</v>
      </c>
      <c r="H22" s="13" t="s">
        <v>1484</v>
      </c>
      <c r="I22" s="14" t="s">
        <v>74</v>
      </c>
      <c r="J22" t="s">
        <v>42</v>
      </c>
      <c r="K22" t="s">
        <v>75</v>
      </c>
      <c r="L22" s="12" t="s">
        <v>76</v>
      </c>
    </row>
    <row r="23" spans="1:12" x14ac:dyDescent="0.35">
      <c r="A23" t="s">
        <v>77</v>
      </c>
      <c r="B23" s="10">
        <v>8971</v>
      </c>
      <c r="C23" s="10">
        <v>2971</v>
      </c>
      <c r="D23" s="10">
        <v>19</v>
      </c>
      <c r="E23" s="11" t="s">
        <v>30</v>
      </c>
      <c r="F23" s="11" t="s">
        <v>78</v>
      </c>
      <c r="G23" t="s">
        <v>32</v>
      </c>
      <c r="H23" s="13">
        <v>44163</v>
      </c>
      <c r="I23" s="14" t="s">
        <v>79</v>
      </c>
      <c r="J23" t="s">
        <v>42</v>
      </c>
      <c r="K23" t="s">
        <v>75</v>
      </c>
      <c r="L23" s="12" t="s">
        <v>80</v>
      </c>
    </row>
    <row r="24" spans="1:12" x14ac:dyDescent="0.35">
      <c r="A24" t="s">
        <v>77</v>
      </c>
      <c r="B24" s="10">
        <v>2939</v>
      </c>
      <c r="C24" s="10">
        <v>894</v>
      </c>
      <c r="D24" s="10">
        <v>20</v>
      </c>
      <c r="E24" s="11" t="s">
        <v>30</v>
      </c>
      <c r="F24" s="11" t="s">
        <v>78</v>
      </c>
      <c r="G24" t="s">
        <v>65</v>
      </c>
      <c r="H24" s="13">
        <v>44163</v>
      </c>
      <c r="I24" s="14" t="s">
        <v>79</v>
      </c>
      <c r="J24" t="s">
        <v>42</v>
      </c>
      <c r="K24" t="s">
        <v>75</v>
      </c>
      <c r="L24" s="12" t="s">
        <v>80</v>
      </c>
    </row>
    <row r="25" spans="1:12" x14ac:dyDescent="0.35">
      <c r="A25" t="s">
        <v>81</v>
      </c>
      <c r="B25" s="10">
        <v>9380</v>
      </c>
      <c r="C25" s="10">
        <v>414</v>
      </c>
      <c r="D25" s="10">
        <v>11</v>
      </c>
      <c r="E25" s="11" t="s">
        <v>13</v>
      </c>
      <c r="F25" s="11" t="s">
        <v>82</v>
      </c>
      <c r="G25" t="s">
        <v>15</v>
      </c>
      <c r="H25" s="13">
        <v>45442</v>
      </c>
      <c r="I25" s="14" t="s">
        <v>83</v>
      </c>
      <c r="J25" t="s">
        <v>25</v>
      </c>
      <c r="K25" t="s">
        <v>68</v>
      </c>
      <c r="L25" s="12" t="s">
        <v>35</v>
      </c>
    </row>
    <row r="26" spans="1:12" x14ac:dyDescent="0.35">
      <c r="A26" t="s">
        <v>81</v>
      </c>
      <c r="B26" s="10">
        <v>8558</v>
      </c>
      <c r="C26" s="10">
        <v>1644</v>
      </c>
      <c r="D26" s="10">
        <v>18</v>
      </c>
      <c r="E26" s="11" t="s">
        <v>30</v>
      </c>
      <c r="F26" s="11" t="s">
        <v>78</v>
      </c>
      <c r="G26" t="s">
        <v>47</v>
      </c>
      <c r="H26" s="13">
        <v>45442</v>
      </c>
      <c r="I26" s="14" t="s">
        <v>83</v>
      </c>
      <c r="J26" t="s">
        <v>25</v>
      </c>
      <c r="K26" t="s">
        <v>68</v>
      </c>
      <c r="L26" s="12" t="s">
        <v>35</v>
      </c>
    </row>
    <row r="27" spans="1:12" x14ac:dyDescent="0.35">
      <c r="A27" t="s">
        <v>81</v>
      </c>
      <c r="B27" s="10">
        <v>4080</v>
      </c>
      <c r="C27" s="10">
        <v>72</v>
      </c>
      <c r="D27" s="10">
        <v>17</v>
      </c>
      <c r="E27" s="11" t="s">
        <v>30</v>
      </c>
      <c r="F27" s="11" t="s">
        <v>64</v>
      </c>
      <c r="G27" t="s">
        <v>65</v>
      </c>
      <c r="H27" s="13">
        <v>45442</v>
      </c>
      <c r="I27" s="14" t="s">
        <v>83</v>
      </c>
      <c r="J27" t="s">
        <v>25</v>
      </c>
      <c r="K27" t="s">
        <v>68</v>
      </c>
      <c r="L27" s="12" t="s">
        <v>35</v>
      </c>
    </row>
    <row r="28" spans="1:12" x14ac:dyDescent="0.35">
      <c r="A28" t="s">
        <v>84</v>
      </c>
      <c r="B28" s="10">
        <v>4206</v>
      </c>
      <c r="C28" s="10">
        <v>1821</v>
      </c>
      <c r="D28" s="10">
        <v>17</v>
      </c>
      <c r="E28" s="11" t="s">
        <v>13</v>
      </c>
      <c r="F28" s="11" t="s">
        <v>14</v>
      </c>
      <c r="G28" t="s">
        <v>40</v>
      </c>
      <c r="H28" s="13">
        <v>44584</v>
      </c>
      <c r="I28" s="14" t="s">
        <v>85</v>
      </c>
      <c r="J28" t="s">
        <v>71</v>
      </c>
      <c r="K28" t="s">
        <v>86</v>
      </c>
      <c r="L28" s="12" t="s">
        <v>87</v>
      </c>
    </row>
    <row r="29" spans="1:12" x14ac:dyDescent="0.35">
      <c r="A29" t="s">
        <v>88</v>
      </c>
      <c r="B29" s="10">
        <v>5219</v>
      </c>
      <c r="C29" s="10">
        <v>1180</v>
      </c>
      <c r="D29" s="10">
        <v>20</v>
      </c>
      <c r="E29" s="11" t="s">
        <v>30</v>
      </c>
      <c r="F29" s="11" t="s">
        <v>78</v>
      </c>
      <c r="G29" t="s">
        <v>65</v>
      </c>
      <c r="H29" s="13">
        <v>44547</v>
      </c>
      <c r="I29" s="14" t="s">
        <v>89</v>
      </c>
      <c r="J29" t="s">
        <v>25</v>
      </c>
      <c r="K29" t="s">
        <v>51</v>
      </c>
      <c r="L29" s="12" t="s">
        <v>90</v>
      </c>
    </row>
    <row r="30" spans="1:12" x14ac:dyDescent="0.35">
      <c r="A30" t="s">
        <v>88</v>
      </c>
      <c r="B30" s="10">
        <v>5219</v>
      </c>
      <c r="C30" s="10">
        <v>1180</v>
      </c>
      <c r="D30" s="10">
        <v>20</v>
      </c>
      <c r="E30" s="11" t="s">
        <v>30</v>
      </c>
      <c r="F30" s="11" t="s">
        <v>78</v>
      </c>
      <c r="G30" t="s">
        <v>65</v>
      </c>
      <c r="H30" s="13">
        <v>44960</v>
      </c>
      <c r="I30" s="14" t="s">
        <v>91</v>
      </c>
      <c r="J30" t="s">
        <v>42</v>
      </c>
      <c r="K30" t="s">
        <v>92</v>
      </c>
      <c r="L30" s="12" t="s">
        <v>93</v>
      </c>
    </row>
    <row r="31" spans="1:12" x14ac:dyDescent="0.35">
      <c r="A31" t="s">
        <v>94</v>
      </c>
      <c r="B31" s="10">
        <v>3686</v>
      </c>
      <c r="C31" s="10">
        <v>760</v>
      </c>
      <c r="D31" s="10">
        <v>20</v>
      </c>
      <c r="E31" s="11" t="s">
        <v>30</v>
      </c>
      <c r="F31" s="11" t="s">
        <v>31</v>
      </c>
      <c r="G31" t="s">
        <v>32</v>
      </c>
      <c r="H31" s="13">
        <v>44864</v>
      </c>
      <c r="I31" s="14" t="s">
        <v>95</v>
      </c>
      <c r="J31" t="s">
        <v>42</v>
      </c>
      <c r="K31" t="s">
        <v>92</v>
      </c>
      <c r="L31" s="12" t="s">
        <v>96</v>
      </c>
    </row>
    <row r="32" spans="1:12" x14ac:dyDescent="0.35">
      <c r="A32" t="s">
        <v>94</v>
      </c>
      <c r="B32" s="10">
        <v>3686</v>
      </c>
      <c r="C32" s="10">
        <v>760</v>
      </c>
      <c r="D32" s="10">
        <v>20</v>
      </c>
      <c r="E32" s="11" t="s">
        <v>30</v>
      </c>
      <c r="F32" s="11" t="s">
        <v>31</v>
      </c>
      <c r="G32" t="s">
        <v>32</v>
      </c>
      <c r="H32" s="13">
        <v>44576</v>
      </c>
      <c r="I32" s="14" t="s">
        <v>97</v>
      </c>
      <c r="J32" t="s">
        <v>98</v>
      </c>
      <c r="K32" t="s">
        <v>99</v>
      </c>
      <c r="L32" s="12" t="s">
        <v>87</v>
      </c>
    </row>
    <row r="33" spans="1:12" x14ac:dyDescent="0.35">
      <c r="A33" t="s">
        <v>100</v>
      </c>
      <c r="B33" s="10">
        <v>6045</v>
      </c>
      <c r="C33" s="10">
        <v>1606</v>
      </c>
      <c r="D33" s="10">
        <v>4</v>
      </c>
      <c r="E33" s="11" t="s">
        <v>30</v>
      </c>
      <c r="F33" s="11" t="s">
        <v>64</v>
      </c>
      <c r="G33" t="s">
        <v>65</v>
      </c>
      <c r="H33" s="13">
        <v>45274</v>
      </c>
      <c r="I33" s="14" t="s">
        <v>101</v>
      </c>
      <c r="J33" t="s">
        <v>17</v>
      </c>
      <c r="K33" t="s">
        <v>34</v>
      </c>
      <c r="L33" s="12" t="s">
        <v>102</v>
      </c>
    </row>
    <row r="34" spans="1:12" x14ac:dyDescent="0.35">
      <c r="A34" t="s">
        <v>100</v>
      </c>
      <c r="B34" s="10">
        <v>9337</v>
      </c>
      <c r="C34" s="10">
        <v>554</v>
      </c>
      <c r="D34" s="10">
        <v>11</v>
      </c>
      <c r="E34" s="11" t="s">
        <v>30</v>
      </c>
      <c r="F34" s="11" t="s">
        <v>31</v>
      </c>
      <c r="G34" t="s">
        <v>65</v>
      </c>
      <c r="H34" s="13">
        <v>45274</v>
      </c>
      <c r="I34" s="14" t="s">
        <v>101</v>
      </c>
      <c r="J34" t="s">
        <v>17</v>
      </c>
      <c r="K34" t="s">
        <v>34</v>
      </c>
      <c r="L34" s="12" t="s">
        <v>102</v>
      </c>
    </row>
    <row r="35" spans="1:12" x14ac:dyDescent="0.35">
      <c r="A35" t="s">
        <v>103</v>
      </c>
      <c r="B35" s="10">
        <v>4051</v>
      </c>
      <c r="C35" s="10">
        <v>1848</v>
      </c>
      <c r="D35" s="10">
        <v>12</v>
      </c>
      <c r="E35" s="11" t="s">
        <v>13</v>
      </c>
      <c r="F35" s="11" t="s">
        <v>82</v>
      </c>
      <c r="G35" t="s">
        <v>47</v>
      </c>
      <c r="H35" s="13">
        <v>45110</v>
      </c>
      <c r="I35" s="14" t="s">
        <v>104</v>
      </c>
      <c r="J35" t="s">
        <v>42</v>
      </c>
      <c r="K35" t="s">
        <v>75</v>
      </c>
      <c r="L35" s="12" t="s">
        <v>105</v>
      </c>
    </row>
    <row r="36" spans="1:12" x14ac:dyDescent="0.35">
      <c r="A36" t="s">
        <v>103</v>
      </c>
      <c r="B36" s="10">
        <v>4051</v>
      </c>
      <c r="C36" s="10">
        <v>1848</v>
      </c>
      <c r="D36" s="10">
        <v>12</v>
      </c>
      <c r="E36" s="11" t="s">
        <v>13</v>
      </c>
      <c r="F36" s="11" t="s">
        <v>82</v>
      </c>
      <c r="G36" t="s">
        <v>47</v>
      </c>
      <c r="H36" s="13">
        <v>44324</v>
      </c>
      <c r="I36" s="14" t="s">
        <v>106</v>
      </c>
      <c r="J36" t="s">
        <v>98</v>
      </c>
      <c r="K36" t="s">
        <v>107</v>
      </c>
      <c r="L36" s="12" t="s">
        <v>108</v>
      </c>
    </row>
    <row r="37" spans="1:12" x14ac:dyDescent="0.35">
      <c r="A37" t="s">
        <v>103</v>
      </c>
      <c r="B37" s="10">
        <v>5011</v>
      </c>
      <c r="C37" s="10">
        <v>866</v>
      </c>
      <c r="D37" s="10">
        <v>11</v>
      </c>
      <c r="E37" s="11" t="s">
        <v>45</v>
      </c>
      <c r="F37" s="11" t="s">
        <v>109</v>
      </c>
      <c r="G37" t="s">
        <v>47</v>
      </c>
      <c r="H37" s="13">
        <v>45110</v>
      </c>
      <c r="I37" s="14" t="s">
        <v>104</v>
      </c>
      <c r="J37" t="s">
        <v>42</v>
      </c>
      <c r="K37" t="s">
        <v>75</v>
      </c>
      <c r="L37" s="12" t="s">
        <v>105</v>
      </c>
    </row>
    <row r="38" spans="1:12" x14ac:dyDescent="0.35">
      <c r="A38" t="s">
        <v>103</v>
      </c>
      <c r="B38" s="10">
        <v>5011</v>
      </c>
      <c r="C38" s="10">
        <v>866</v>
      </c>
      <c r="D38" s="10">
        <v>11</v>
      </c>
      <c r="E38" s="11" t="s">
        <v>45</v>
      </c>
      <c r="F38" s="11" t="s">
        <v>109</v>
      </c>
      <c r="G38" t="s">
        <v>47</v>
      </c>
      <c r="H38" s="13">
        <v>44324</v>
      </c>
      <c r="I38" s="14" t="s">
        <v>106</v>
      </c>
      <c r="J38" t="s">
        <v>98</v>
      </c>
      <c r="K38" t="s">
        <v>107</v>
      </c>
      <c r="L38" s="12" t="s">
        <v>108</v>
      </c>
    </row>
    <row r="39" spans="1:12" x14ac:dyDescent="0.35">
      <c r="A39" t="s">
        <v>110</v>
      </c>
      <c r="B39" s="10">
        <v>3958</v>
      </c>
      <c r="C39" s="10">
        <v>630</v>
      </c>
      <c r="D39" s="10">
        <v>15</v>
      </c>
      <c r="E39" s="11" t="s">
        <v>45</v>
      </c>
      <c r="F39" s="11" t="s">
        <v>60</v>
      </c>
      <c r="G39" t="s">
        <v>40</v>
      </c>
      <c r="H39" s="13">
        <v>44841</v>
      </c>
      <c r="I39" s="14" t="s">
        <v>111</v>
      </c>
      <c r="J39" t="s">
        <v>17</v>
      </c>
      <c r="K39" t="s">
        <v>34</v>
      </c>
      <c r="L39" s="12" t="s">
        <v>96</v>
      </c>
    </row>
    <row r="40" spans="1:12" x14ac:dyDescent="0.35">
      <c r="A40" t="s">
        <v>110</v>
      </c>
      <c r="B40" s="10">
        <v>3132</v>
      </c>
      <c r="C40" s="10">
        <v>963</v>
      </c>
      <c r="D40" s="10">
        <v>1</v>
      </c>
      <c r="E40" s="11" t="s">
        <v>45</v>
      </c>
      <c r="F40" s="11" t="s">
        <v>46</v>
      </c>
      <c r="G40" t="s">
        <v>32</v>
      </c>
      <c r="H40" s="13">
        <v>44841</v>
      </c>
      <c r="I40" s="14" t="s">
        <v>111</v>
      </c>
      <c r="J40" t="s">
        <v>17</v>
      </c>
      <c r="K40" t="s">
        <v>34</v>
      </c>
      <c r="L40" s="12" t="s">
        <v>96</v>
      </c>
    </row>
    <row r="41" spans="1:12" x14ac:dyDescent="0.35">
      <c r="A41" t="s">
        <v>112</v>
      </c>
      <c r="B41" s="10">
        <v>7784</v>
      </c>
      <c r="C41" s="10">
        <v>2937</v>
      </c>
      <c r="D41" s="10">
        <v>12</v>
      </c>
      <c r="E41" s="11" t="s">
        <v>30</v>
      </c>
      <c r="F41" s="11" t="s">
        <v>57</v>
      </c>
      <c r="G41" t="s">
        <v>15</v>
      </c>
      <c r="H41" s="13">
        <v>45510</v>
      </c>
      <c r="I41" s="14" t="s">
        <v>113</v>
      </c>
      <c r="J41" t="s">
        <v>42</v>
      </c>
      <c r="K41" t="s">
        <v>92</v>
      </c>
      <c r="L41" s="12" t="s">
        <v>114</v>
      </c>
    </row>
    <row r="42" spans="1:12" x14ac:dyDescent="0.35">
      <c r="A42" t="s">
        <v>112</v>
      </c>
      <c r="B42" s="10">
        <v>5591</v>
      </c>
      <c r="C42" s="10">
        <v>1696</v>
      </c>
      <c r="D42" s="10">
        <v>3</v>
      </c>
      <c r="E42" s="11" t="s">
        <v>30</v>
      </c>
      <c r="F42" s="11" t="s">
        <v>31</v>
      </c>
      <c r="G42" t="s">
        <v>65</v>
      </c>
      <c r="H42" s="13">
        <v>45510</v>
      </c>
      <c r="I42" s="14" t="s">
        <v>113</v>
      </c>
      <c r="J42" t="s">
        <v>42</v>
      </c>
      <c r="K42" t="s">
        <v>92</v>
      </c>
      <c r="L42" s="12" t="s">
        <v>114</v>
      </c>
    </row>
    <row r="43" spans="1:12" x14ac:dyDescent="0.35">
      <c r="A43" t="s">
        <v>112</v>
      </c>
      <c r="B43" s="10">
        <v>5122</v>
      </c>
      <c r="C43" s="10">
        <v>2413</v>
      </c>
      <c r="D43" s="10">
        <v>12</v>
      </c>
      <c r="E43" s="11" t="s">
        <v>13</v>
      </c>
      <c r="F43" s="11" t="s">
        <v>14</v>
      </c>
      <c r="G43" t="s">
        <v>65</v>
      </c>
      <c r="H43" s="13">
        <v>45510</v>
      </c>
      <c r="I43" s="14" t="s">
        <v>113</v>
      </c>
      <c r="J43" t="s">
        <v>42</v>
      </c>
      <c r="K43" t="s">
        <v>92</v>
      </c>
      <c r="L43" s="12" t="s">
        <v>114</v>
      </c>
    </row>
    <row r="44" spans="1:12" x14ac:dyDescent="0.35">
      <c r="A44" t="s">
        <v>115</v>
      </c>
      <c r="B44" s="10">
        <v>8293</v>
      </c>
      <c r="C44" s="10">
        <v>2632</v>
      </c>
      <c r="D44" s="10">
        <v>8</v>
      </c>
      <c r="E44" s="11" t="s">
        <v>30</v>
      </c>
      <c r="F44" s="11" t="s">
        <v>78</v>
      </c>
      <c r="G44" t="s">
        <v>65</v>
      </c>
      <c r="H44" s="13">
        <v>44566</v>
      </c>
      <c r="I44" s="14" t="s">
        <v>116</v>
      </c>
      <c r="J44" t="s">
        <v>98</v>
      </c>
      <c r="K44" t="s">
        <v>117</v>
      </c>
      <c r="L44" s="12" t="s">
        <v>87</v>
      </c>
    </row>
    <row r="45" spans="1:12" x14ac:dyDescent="0.35">
      <c r="A45" t="s">
        <v>115</v>
      </c>
      <c r="B45" s="10">
        <v>8293</v>
      </c>
      <c r="C45" s="10">
        <v>2632</v>
      </c>
      <c r="D45" s="10">
        <v>8</v>
      </c>
      <c r="E45" s="11" t="s">
        <v>30</v>
      </c>
      <c r="F45" s="11" t="s">
        <v>78</v>
      </c>
      <c r="G45" t="s">
        <v>65</v>
      </c>
      <c r="H45" s="13">
        <v>44121</v>
      </c>
      <c r="I45" s="14" t="s">
        <v>118</v>
      </c>
      <c r="J45" t="s">
        <v>25</v>
      </c>
      <c r="K45" t="s">
        <v>68</v>
      </c>
      <c r="L45" s="12" t="s">
        <v>119</v>
      </c>
    </row>
    <row r="46" spans="1:12" x14ac:dyDescent="0.35">
      <c r="A46" t="s">
        <v>115</v>
      </c>
      <c r="B46" s="10">
        <v>8293</v>
      </c>
      <c r="C46" s="10">
        <v>2632</v>
      </c>
      <c r="D46" s="10">
        <v>8</v>
      </c>
      <c r="E46" s="11" t="s">
        <v>30</v>
      </c>
      <c r="F46" s="11" t="s">
        <v>78</v>
      </c>
      <c r="G46" t="s">
        <v>65</v>
      </c>
      <c r="H46" s="13">
        <v>45159</v>
      </c>
      <c r="I46" s="14" t="s">
        <v>120</v>
      </c>
      <c r="J46" t="s">
        <v>42</v>
      </c>
      <c r="K46" t="s">
        <v>43</v>
      </c>
      <c r="L46" s="12" t="s">
        <v>121</v>
      </c>
    </row>
    <row r="47" spans="1:12" x14ac:dyDescent="0.35">
      <c r="A47" t="s">
        <v>115</v>
      </c>
      <c r="B47" s="10">
        <v>2863</v>
      </c>
      <c r="C47" s="10">
        <v>205</v>
      </c>
      <c r="D47" s="10">
        <v>17</v>
      </c>
      <c r="E47" s="11" t="s">
        <v>13</v>
      </c>
      <c r="F47" s="11" t="s">
        <v>82</v>
      </c>
      <c r="G47" t="s">
        <v>15</v>
      </c>
      <c r="H47" s="13">
        <v>44566</v>
      </c>
      <c r="I47" s="14" t="s">
        <v>116</v>
      </c>
      <c r="J47" t="s">
        <v>98</v>
      </c>
      <c r="K47" t="s">
        <v>117</v>
      </c>
      <c r="L47" s="12" t="s">
        <v>87</v>
      </c>
    </row>
    <row r="48" spans="1:12" x14ac:dyDescent="0.35">
      <c r="A48" t="s">
        <v>115</v>
      </c>
      <c r="B48" s="10">
        <v>2863</v>
      </c>
      <c r="C48" s="10">
        <v>205</v>
      </c>
      <c r="D48" s="10">
        <v>17</v>
      </c>
      <c r="E48" s="11" t="s">
        <v>13</v>
      </c>
      <c r="F48" s="11" t="s">
        <v>82</v>
      </c>
      <c r="G48" t="s">
        <v>15</v>
      </c>
      <c r="H48" s="13">
        <v>44121</v>
      </c>
      <c r="I48" s="14" t="s">
        <v>118</v>
      </c>
      <c r="J48" t="s">
        <v>25</v>
      </c>
      <c r="K48" t="s">
        <v>68</v>
      </c>
      <c r="L48" s="12" t="s">
        <v>119</v>
      </c>
    </row>
    <row r="49" spans="1:12" x14ac:dyDescent="0.35">
      <c r="A49" t="s">
        <v>115</v>
      </c>
      <c r="B49" s="10">
        <v>2863</v>
      </c>
      <c r="C49" s="10">
        <v>205</v>
      </c>
      <c r="D49" s="10">
        <v>17</v>
      </c>
      <c r="E49" s="11" t="s">
        <v>13</v>
      </c>
      <c r="F49" s="11" t="s">
        <v>82</v>
      </c>
      <c r="G49" t="s">
        <v>15</v>
      </c>
      <c r="H49" s="13">
        <v>45159</v>
      </c>
      <c r="I49" s="14" t="s">
        <v>120</v>
      </c>
      <c r="J49" t="s">
        <v>42</v>
      </c>
      <c r="K49" t="s">
        <v>43</v>
      </c>
      <c r="L49" s="12" t="s">
        <v>121</v>
      </c>
    </row>
    <row r="50" spans="1:12" x14ac:dyDescent="0.35">
      <c r="A50" t="s">
        <v>122</v>
      </c>
      <c r="B50" s="10">
        <v>3090</v>
      </c>
      <c r="C50" s="10">
        <v>573</v>
      </c>
      <c r="D50" s="10">
        <v>6</v>
      </c>
      <c r="E50" s="11" t="s">
        <v>45</v>
      </c>
      <c r="F50" s="11" t="s">
        <v>46</v>
      </c>
      <c r="G50" t="s">
        <v>40</v>
      </c>
      <c r="H50" s="13">
        <v>45653</v>
      </c>
      <c r="I50" s="14" t="s">
        <v>123</v>
      </c>
      <c r="J50" t="s">
        <v>42</v>
      </c>
      <c r="K50" t="s">
        <v>75</v>
      </c>
      <c r="L50" s="12" t="s">
        <v>23</v>
      </c>
    </row>
    <row r="51" spans="1:12" x14ac:dyDescent="0.35">
      <c r="A51" t="s">
        <v>122</v>
      </c>
      <c r="B51" s="10">
        <v>3090</v>
      </c>
      <c r="C51" s="10">
        <v>573</v>
      </c>
      <c r="D51" s="10">
        <v>6</v>
      </c>
      <c r="E51" s="11" t="s">
        <v>45</v>
      </c>
      <c r="F51" s="11" t="s">
        <v>46</v>
      </c>
      <c r="G51" t="s">
        <v>40</v>
      </c>
      <c r="H51" s="13">
        <v>44365</v>
      </c>
      <c r="I51" s="14" t="s">
        <v>124</v>
      </c>
      <c r="J51" t="s">
        <v>98</v>
      </c>
      <c r="K51" t="s">
        <v>107</v>
      </c>
      <c r="L51" s="12" t="s">
        <v>125</v>
      </c>
    </row>
    <row r="52" spans="1:12" x14ac:dyDescent="0.35">
      <c r="A52" t="s">
        <v>122</v>
      </c>
      <c r="B52" s="10">
        <v>3090</v>
      </c>
      <c r="C52" s="10">
        <v>573</v>
      </c>
      <c r="D52" s="10">
        <v>6</v>
      </c>
      <c r="E52" s="11" t="s">
        <v>45</v>
      </c>
      <c r="F52" s="11" t="s">
        <v>46</v>
      </c>
      <c r="G52" t="s">
        <v>40</v>
      </c>
      <c r="H52" s="13">
        <v>45073</v>
      </c>
      <c r="I52" s="14" t="s">
        <v>126</v>
      </c>
      <c r="J52" t="s">
        <v>71</v>
      </c>
      <c r="K52" t="s">
        <v>86</v>
      </c>
      <c r="L52" s="12" t="s">
        <v>127</v>
      </c>
    </row>
    <row r="53" spans="1:12" x14ac:dyDescent="0.35">
      <c r="A53" t="s">
        <v>122</v>
      </c>
      <c r="B53" s="10">
        <v>3090</v>
      </c>
      <c r="C53" s="10">
        <v>573</v>
      </c>
      <c r="D53" s="10">
        <v>6</v>
      </c>
      <c r="E53" s="11" t="s">
        <v>45</v>
      </c>
      <c r="F53" s="11" t="s">
        <v>46</v>
      </c>
      <c r="G53" t="s">
        <v>40</v>
      </c>
      <c r="H53" s="13">
        <v>44481</v>
      </c>
      <c r="I53" s="14" t="s">
        <v>128</v>
      </c>
      <c r="J53" t="s">
        <v>71</v>
      </c>
      <c r="K53" t="s">
        <v>72</v>
      </c>
      <c r="L53" s="12" t="s">
        <v>37</v>
      </c>
    </row>
    <row r="54" spans="1:12" x14ac:dyDescent="0.35">
      <c r="A54" t="s">
        <v>122</v>
      </c>
      <c r="B54" s="10">
        <v>9683</v>
      </c>
      <c r="C54" s="10">
        <v>1014</v>
      </c>
      <c r="D54" s="10">
        <v>5</v>
      </c>
      <c r="E54" s="11" t="s">
        <v>13</v>
      </c>
      <c r="F54" s="11" t="s">
        <v>28</v>
      </c>
      <c r="G54" t="s">
        <v>15</v>
      </c>
      <c r="H54" s="13">
        <v>45653</v>
      </c>
      <c r="I54" s="14" t="s">
        <v>123</v>
      </c>
      <c r="J54" t="s">
        <v>42</v>
      </c>
      <c r="K54" t="s">
        <v>75</v>
      </c>
      <c r="L54" s="12" t="s">
        <v>23</v>
      </c>
    </row>
    <row r="55" spans="1:12" x14ac:dyDescent="0.35">
      <c r="A55" t="s">
        <v>122</v>
      </c>
      <c r="B55" s="10">
        <v>9683</v>
      </c>
      <c r="C55" s="10">
        <v>1014</v>
      </c>
      <c r="D55" s="10">
        <v>5</v>
      </c>
      <c r="E55" s="11" t="s">
        <v>13</v>
      </c>
      <c r="F55" s="11" t="s">
        <v>28</v>
      </c>
      <c r="G55" t="s">
        <v>15</v>
      </c>
      <c r="H55" s="13">
        <v>44365</v>
      </c>
      <c r="I55" s="14" t="s">
        <v>124</v>
      </c>
      <c r="J55" t="s">
        <v>98</v>
      </c>
      <c r="K55" t="s">
        <v>107</v>
      </c>
      <c r="L55" s="12" t="s">
        <v>125</v>
      </c>
    </row>
    <row r="56" spans="1:12" x14ac:dyDescent="0.35">
      <c r="A56" t="s">
        <v>122</v>
      </c>
      <c r="B56" s="10">
        <v>9683</v>
      </c>
      <c r="C56" s="10">
        <v>1014</v>
      </c>
      <c r="D56" s="10">
        <v>5</v>
      </c>
      <c r="E56" s="11" t="s">
        <v>13</v>
      </c>
      <c r="F56" s="11" t="s">
        <v>28</v>
      </c>
      <c r="G56" t="s">
        <v>15</v>
      </c>
      <c r="H56" s="13">
        <v>45073</v>
      </c>
      <c r="I56" s="14" t="s">
        <v>126</v>
      </c>
      <c r="J56" t="s">
        <v>71</v>
      </c>
      <c r="K56" t="s">
        <v>86</v>
      </c>
      <c r="L56" s="12" t="s">
        <v>127</v>
      </c>
    </row>
    <row r="57" spans="1:12" x14ac:dyDescent="0.35">
      <c r="A57" t="s">
        <v>122</v>
      </c>
      <c r="B57" s="10">
        <v>9683</v>
      </c>
      <c r="C57" s="10">
        <v>1014</v>
      </c>
      <c r="D57" s="10">
        <v>5</v>
      </c>
      <c r="E57" s="11" t="s">
        <v>13</v>
      </c>
      <c r="F57" s="11" t="s">
        <v>28</v>
      </c>
      <c r="G57" t="s">
        <v>15</v>
      </c>
      <c r="H57" s="13">
        <v>44481</v>
      </c>
      <c r="I57" s="14" t="s">
        <v>128</v>
      </c>
      <c r="J57" t="s">
        <v>71</v>
      </c>
      <c r="K57" t="s">
        <v>72</v>
      </c>
      <c r="L57" s="12" t="s">
        <v>37</v>
      </c>
    </row>
    <row r="58" spans="1:12" x14ac:dyDescent="0.35">
      <c r="A58" t="s">
        <v>129</v>
      </c>
      <c r="B58" s="10">
        <v>2463</v>
      </c>
      <c r="C58" s="10">
        <v>648</v>
      </c>
      <c r="D58" s="10">
        <v>18</v>
      </c>
      <c r="E58" s="11" t="s">
        <v>45</v>
      </c>
      <c r="F58" s="11" t="s">
        <v>46</v>
      </c>
      <c r="G58" t="s">
        <v>40</v>
      </c>
      <c r="H58" s="13">
        <v>44823</v>
      </c>
      <c r="I58" s="14" t="s">
        <v>130</v>
      </c>
      <c r="J58" t="s">
        <v>98</v>
      </c>
      <c r="K58" t="s">
        <v>107</v>
      </c>
      <c r="L58" s="12" t="s">
        <v>131</v>
      </c>
    </row>
    <row r="59" spans="1:12" x14ac:dyDescent="0.35">
      <c r="A59" t="s">
        <v>132</v>
      </c>
      <c r="B59" s="10">
        <v>7811</v>
      </c>
      <c r="C59" s="10">
        <v>1538</v>
      </c>
      <c r="D59" s="10">
        <v>12</v>
      </c>
      <c r="E59" s="11" t="s">
        <v>45</v>
      </c>
      <c r="F59" s="11" t="s">
        <v>60</v>
      </c>
      <c r="G59" t="s">
        <v>65</v>
      </c>
      <c r="H59" s="13">
        <v>44645</v>
      </c>
      <c r="I59" s="14" t="s">
        <v>133</v>
      </c>
      <c r="J59" t="s">
        <v>17</v>
      </c>
      <c r="K59" t="s">
        <v>18</v>
      </c>
      <c r="L59" s="12" t="s">
        <v>134</v>
      </c>
    </row>
    <row r="60" spans="1:12" x14ac:dyDescent="0.35">
      <c r="A60" t="s">
        <v>135</v>
      </c>
      <c r="B60" s="10">
        <v>6139</v>
      </c>
      <c r="C60" s="10">
        <v>451</v>
      </c>
      <c r="D60" s="10">
        <v>10</v>
      </c>
      <c r="E60" s="11" t="s">
        <v>45</v>
      </c>
      <c r="F60" s="11" t="s">
        <v>46</v>
      </c>
      <c r="G60" t="s">
        <v>32</v>
      </c>
      <c r="H60" s="13">
        <v>44618</v>
      </c>
      <c r="I60" s="14" t="s">
        <v>136</v>
      </c>
      <c r="J60" t="s">
        <v>17</v>
      </c>
      <c r="K60" t="s">
        <v>34</v>
      </c>
      <c r="L60" s="12" t="s">
        <v>137</v>
      </c>
    </row>
    <row r="61" spans="1:12" x14ac:dyDescent="0.35">
      <c r="A61" t="s">
        <v>135</v>
      </c>
      <c r="B61" s="10">
        <v>6139</v>
      </c>
      <c r="C61" s="10">
        <v>451</v>
      </c>
      <c r="D61" s="10">
        <v>10</v>
      </c>
      <c r="E61" s="11" t="s">
        <v>45</v>
      </c>
      <c r="F61" s="11" t="s">
        <v>46</v>
      </c>
      <c r="G61" t="s">
        <v>32</v>
      </c>
      <c r="H61" s="13">
        <v>44291</v>
      </c>
      <c r="I61" s="14" t="s">
        <v>91</v>
      </c>
      <c r="J61" t="s">
        <v>71</v>
      </c>
      <c r="K61" t="s">
        <v>138</v>
      </c>
      <c r="L61" s="12" t="s">
        <v>139</v>
      </c>
    </row>
    <row r="62" spans="1:12" x14ac:dyDescent="0.35">
      <c r="A62" t="s">
        <v>135</v>
      </c>
      <c r="B62" s="10">
        <v>8636</v>
      </c>
      <c r="C62" s="10">
        <v>3192</v>
      </c>
      <c r="D62" s="10">
        <v>3</v>
      </c>
      <c r="E62" s="11" t="s">
        <v>45</v>
      </c>
      <c r="F62" s="11" t="s">
        <v>49</v>
      </c>
      <c r="G62" t="s">
        <v>65</v>
      </c>
      <c r="H62" s="13">
        <v>44618</v>
      </c>
      <c r="I62" s="14" t="s">
        <v>136</v>
      </c>
      <c r="J62" t="s">
        <v>17</v>
      </c>
      <c r="K62" t="s">
        <v>34</v>
      </c>
      <c r="L62" s="12" t="s">
        <v>137</v>
      </c>
    </row>
    <row r="63" spans="1:12" x14ac:dyDescent="0.35">
      <c r="A63" t="s">
        <v>135</v>
      </c>
      <c r="B63" s="10">
        <v>8636</v>
      </c>
      <c r="C63" s="10">
        <v>3192</v>
      </c>
      <c r="D63" s="10">
        <v>3</v>
      </c>
      <c r="E63" s="11" t="s">
        <v>45</v>
      </c>
      <c r="F63" s="11" t="s">
        <v>49</v>
      </c>
      <c r="G63" t="s">
        <v>65</v>
      </c>
      <c r="H63" s="13">
        <v>44291</v>
      </c>
      <c r="I63" s="14" t="s">
        <v>91</v>
      </c>
      <c r="J63" t="s">
        <v>71</v>
      </c>
      <c r="K63" t="s">
        <v>138</v>
      </c>
      <c r="L63" s="12" t="s">
        <v>139</v>
      </c>
    </row>
    <row r="64" spans="1:12" x14ac:dyDescent="0.35">
      <c r="A64" t="s">
        <v>135</v>
      </c>
      <c r="B64" s="10">
        <v>4439</v>
      </c>
      <c r="C64" s="10">
        <v>1712</v>
      </c>
      <c r="D64" s="10">
        <v>19</v>
      </c>
      <c r="E64" s="11" t="s">
        <v>45</v>
      </c>
      <c r="F64" s="11" t="s">
        <v>60</v>
      </c>
      <c r="G64" t="s">
        <v>47</v>
      </c>
      <c r="H64" s="13">
        <v>44618</v>
      </c>
      <c r="I64" s="14" t="s">
        <v>136</v>
      </c>
      <c r="J64" t="s">
        <v>17</v>
      </c>
      <c r="K64" t="s">
        <v>34</v>
      </c>
      <c r="L64" s="12" t="s">
        <v>137</v>
      </c>
    </row>
    <row r="65" spans="1:12" x14ac:dyDescent="0.35">
      <c r="A65" t="s">
        <v>135</v>
      </c>
      <c r="B65" s="10">
        <v>4439</v>
      </c>
      <c r="C65" s="10">
        <v>1712</v>
      </c>
      <c r="D65" s="10">
        <v>19</v>
      </c>
      <c r="E65" s="11" t="s">
        <v>45</v>
      </c>
      <c r="F65" s="11" t="s">
        <v>60</v>
      </c>
      <c r="G65" t="s">
        <v>47</v>
      </c>
      <c r="H65" s="13">
        <v>44291</v>
      </c>
      <c r="I65" s="14" t="s">
        <v>91</v>
      </c>
      <c r="J65" t="s">
        <v>71</v>
      </c>
      <c r="K65" t="s">
        <v>138</v>
      </c>
      <c r="L65" s="12" t="s">
        <v>139</v>
      </c>
    </row>
    <row r="66" spans="1:12" x14ac:dyDescent="0.35">
      <c r="A66" t="s">
        <v>140</v>
      </c>
      <c r="B66" s="10">
        <v>1016</v>
      </c>
      <c r="C66" s="10">
        <v>172</v>
      </c>
      <c r="D66" s="10">
        <v>20</v>
      </c>
      <c r="E66" s="11" t="s">
        <v>45</v>
      </c>
      <c r="F66" s="11" t="s">
        <v>46</v>
      </c>
      <c r="G66" t="s">
        <v>32</v>
      </c>
      <c r="H66" s="13">
        <v>44151</v>
      </c>
      <c r="I66" s="14" t="s">
        <v>141</v>
      </c>
      <c r="J66" t="s">
        <v>25</v>
      </c>
      <c r="K66" t="s">
        <v>26</v>
      </c>
      <c r="L66" s="12" t="s">
        <v>80</v>
      </c>
    </row>
    <row r="67" spans="1:12" x14ac:dyDescent="0.35">
      <c r="A67" t="s">
        <v>140</v>
      </c>
      <c r="B67" s="10">
        <v>5768</v>
      </c>
      <c r="C67" s="10">
        <v>2059</v>
      </c>
      <c r="D67" s="10">
        <v>14</v>
      </c>
      <c r="E67" s="11" t="s">
        <v>45</v>
      </c>
      <c r="F67" s="11" t="s">
        <v>46</v>
      </c>
      <c r="G67" t="s">
        <v>15</v>
      </c>
      <c r="H67" s="13">
        <v>44151</v>
      </c>
      <c r="I67" s="14" t="s">
        <v>141</v>
      </c>
      <c r="J67" t="s">
        <v>25</v>
      </c>
      <c r="K67" t="s">
        <v>26</v>
      </c>
      <c r="L67" s="12" t="s">
        <v>80</v>
      </c>
    </row>
    <row r="68" spans="1:12" x14ac:dyDescent="0.35">
      <c r="A68" t="s">
        <v>140</v>
      </c>
      <c r="B68" s="10">
        <v>1217</v>
      </c>
      <c r="C68" s="10">
        <v>151</v>
      </c>
      <c r="D68" s="10">
        <v>3</v>
      </c>
      <c r="E68" s="11" t="s">
        <v>45</v>
      </c>
      <c r="F68" s="11" t="s">
        <v>46</v>
      </c>
      <c r="G68" t="s">
        <v>47</v>
      </c>
      <c r="H68" s="13">
        <v>44151</v>
      </c>
      <c r="I68" s="14" t="s">
        <v>141</v>
      </c>
      <c r="J68" t="s">
        <v>25</v>
      </c>
      <c r="K68" t="s">
        <v>26</v>
      </c>
      <c r="L68" s="12" t="s">
        <v>80</v>
      </c>
    </row>
    <row r="69" spans="1:12" x14ac:dyDescent="0.35">
      <c r="A69" t="s">
        <v>142</v>
      </c>
      <c r="B69" s="10">
        <v>953</v>
      </c>
      <c r="C69" s="10">
        <v>93</v>
      </c>
      <c r="D69" s="10">
        <v>2</v>
      </c>
      <c r="E69" s="11" t="s">
        <v>30</v>
      </c>
      <c r="F69" s="11" t="s">
        <v>64</v>
      </c>
      <c r="G69" t="s">
        <v>32</v>
      </c>
      <c r="H69" s="13">
        <v>45638</v>
      </c>
      <c r="I69" s="14" t="s">
        <v>143</v>
      </c>
      <c r="J69" t="s">
        <v>98</v>
      </c>
      <c r="K69" t="s">
        <v>117</v>
      </c>
      <c r="L69" s="12" t="s">
        <v>23</v>
      </c>
    </row>
    <row r="70" spans="1:12" x14ac:dyDescent="0.35">
      <c r="A70" t="s">
        <v>142</v>
      </c>
      <c r="B70" s="10">
        <v>953</v>
      </c>
      <c r="C70" s="10">
        <v>93</v>
      </c>
      <c r="D70" s="10">
        <v>2</v>
      </c>
      <c r="E70" s="11" t="s">
        <v>30</v>
      </c>
      <c r="F70" s="11" t="s">
        <v>64</v>
      </c>
      <c r="G70" t="s">
        <v>32</v>
      </c>
      <c r="H70" s="13">
        <v>45022</v>
      </c>
      <c r="I70" s="14" t="s">
        <v>144</v>
      </c>
      <c r="J70" t="s">
        <v>42</v>
      </c>
      <c r="K70" t="s">
        <v>43</v>
      </c>
      <c r="L70" s="12" t="s">
        <v>145</v>
      </c>
    </row>
    <row r="71" spans="1:12" x14ac:dyDescent="0.35">
      <c r="A71" t="s">
        <v>142</v>
      </c>
      <c r="B71" s="10">
        <v>7355</v>
      </c>
      <c r="C71" s="10">
        <v>1034</v>
      </c>
      <c r="D71" s="10">
        <v>3</v>
      </c>
      <c r="E71" s="11" t="s">
        <v>45</v>
      </c>
      <c r="F71" s="11" t="s">
        <v>60</v>
      </c>
      <c r="G71" t="s">
        <v>65</v>
      </c>
      <c r="H71" s="13">
        <v>45638</v>
      </c>
      <c r="I71" s="14" t="s">
        <v>143</v>
      </c>
      <c r="J71" t="s">
        <v>98</v>
      </c>
      <c r="K71" t="s">
        <v>117</v>
      </c>
      <c r="L71" s="12" t="s">
        <v>23</v>
      </c>
    </row>
    <row r="72" spans="1:12" x14ac:dyDescent="0.35">
      <c r="A72" t="s">
        <v>142</v>
      </c>
      <c r="B72" s="10">
        <v>7355</v>
      </c>
      <c r="C72" s="10">
        <v>1034</v>
      </c>
      <c r="D72" s="10">
        <v>3</v>
      </c>
      <c r="E72" s="11" t="s">
        <v>45</v>
      </c>
      <c r="F72" s="11" t="s">
        <v>60</v>
      </c>
      <c r="G72" t="s">
        <v>65</v>
      </c>
      <c r="H72" s="13">
        <v>45022</v>
      </c>
      <c r="I72" s="14" t="s">
        <v>144</v>
      </c>
      <c r="J72" t="s">
        <v>42</v>
      </c>
      <c r="K72" t="s">
        <v>43</v>
      </c>
      <c r="L72" s="12" t="s">
        <v>145</v>
      </c>
    </row>
    <row r="73" spans="1:12" x14ac:dyDescent="0.35">
      <c r="A73" t="s">
        <v>142</v>
      </c>
      <c r="B73" s="10">
        <v>1843</v>
      </c>
      <c r="C73" s="10">
        <v>248</v>
      </c>
      <c r="D73" s="10">
        <v>3</v>
      </c>
      <c r="E73" s="11" t="s">
        <v>13</v>
      </c>
      <c r="F73" s="11" t="s">
        <v>82</v>
      </c>
      <c r="G73" t="s">
        <v>47</v>
      </c>
      <c r="H73" s="13">
        <v>45638</v>
      </c>
      <c r="I73" s="14" t="s">
        <v>143</v>
      </c>
      <c r="J73" t="s">
        <v>98</v>
      </c>
      <c r="K73" t="s">
        <v>117</v>
      </c>
      <c r="L73" s="12" t="s">
        <v>23</v>
      </c>
    </row>
    <row r="74" spans="1:12" x14ac:dyDescent="0.35">
      <c r="A74" t="s">
        <v>142</v>
      </c>
      <c r="B74" s="10">
        <v>1843</v>
      </c>
      <c r="C74" s="10">
        <v>248</v>
      </c>
      <c r="D74" s="10">
        <v>3</v>
      </c>
      <c r="E74" s="11" t="s">
        <v>13</v>
      </c>
      <c r="F74" s="11" t="s">
        <v>82</v>
      </c>
      <c r="G74" t="s">
        <v>47</v>
      </c>
      <c r="H74" s="13">
        <v>45022</v>
      </c>
      <c r="I74" s="14" t="s">
        <v>144</v>
      </c>
      <c r="J74" t="s">
        <v>42</v>
      </c>
      <c r="K74" t="s">
        <v>43</v>
      </c>
      <c r="L74" s="12" t="s">
        <v>145</v>
      </c>
    </row>
    <row r="75" spans="1:12" x14ac:dyDescent="0.35">
      <c r="A75" t="s">
        <v>142</v>
      </c>
      <c r="B75" s="10">
        <v>1603</v>
      </c>
      <c r="C75" s="10">
        <v>361</v>
      </c>
      <c r="D75" s="10">
        <v>10</v>
      </c>
      <c r="E75" s="11" t="s">
        <v>30</v>
      </c>
      <c r="F75" s="11" t="s">
        <v>31</v>
      </c>
      <c r="G75" t="s">
        <v>32</v>
      </c>
      <c r="H75" s="13">
        <v>45638</v>
      </c>
      <c r="I75" s="14" t="s">
        <v>143</v>
      </c>
      <c r="J75" t="s">
        <v>98</v>
      </c>
      <c r="K75" t="s">
        <v>117</v>
      </c>
      <c r="L75" s="12" t="s">
        <v>23</v>
      </c>
    </row>
    <row r="76" spans="1:12" x14ac:dyDescent="0.35">
      <c r="A76" t="s">
        <v>142</v>
      </c>
      <c r="B76" s="10">
        <v>1603</v>
      </c>
      <c r="C76" s="10">
        <v>361</v>
      </c>
      <c r="D76" s="10">
        <v>10</v>
      </c>
      <c r="E76" s="11" t="s">
        <v>30</v>
      </c>
      <c r="F76" s="11" t="s">
        <v>31</v>
      </c>
      <c r="G76" t="s">
        <v>32</v>
      </c>
      <c r="H76" s="13">
        <v>45022</v>
      </c>
      <c r="I76" s="14" t="s">
        <v>144</v>
      </c>
      <c r="J76" t="s">
        <v>42</v>
      </c>
      <c r="K76" t="s">
        <v>43</v>
      </c>
      <c r="L76" s="12" t="s">
        <v>145</v>
      </c>
    </row>
    <row r="77" spans="1:12" x14ac:dyDescent="0.35">
      <c r="A77" t="s">
        <v>146</v>
      </c>
      <c r="B77" s="10">
        <v>2025</v>
      </c>
      <c r="C77" s="10">
        <v>528</v>
      </c>
      <c r="D77" s="10">
        <v>1</v>
      </c>
      <c r="E77" s="11" t="s">
        <v>30</v>
      </c>
      <c r="F77" s="11" t="s">
        <v>31</v>
      </c>
      <c r="G77" t="s">
        <v>47</v>
      </c>
      <c r="H77" s="13">
        <v>45319</v>
      </c>
      <c r="I77" s="14" t="s">
        <v>147</v>
      </c>
      <c r="J77" t="s">
        <v>17</v>
      </c>
      <c r="K77" t="s">
        <v>18</v>
      </c>
      <c r="L77" s="12" t="s">
        <v>76</v>
      </c>
    </row>
    <row r="78" spans="1:12" x14ac:dyDescent="0.35">
      <c r="A78" t="s">
        <v>146</v>
      </c>
      <c r="B78" s="10">
        <v>6800</v>
      </c>
      <c r="C78" s="10">
        <v>167</v>
      </c>
      <c r="D78" s="10">
        <v>16</v>
      </c>
      <c r="E78" s="11" t="s">
        <v>30</v>
      </c>
      <c r="F78" s="11" t="s">
        <v>78</v>
      </c>
      <c r="G78" t="s">
        <v>40</v>
      </c>
      <c r="H78" s="13">
        <v>45319</v>
      </c>
      <c r="I78" s="14" t="s">
        <v>147</v>
      </c>
      <c r="J78" t="s">
        <v>17</v>
      </c>
      <c r="K78" t="s">
        <v>18</v>
      </c>
      <c r="L78" s="12" t="s">
        <v>76</v>
      </c>
    </row>
    <row r="79" spans="1:12" x14ac:dyDescent="0.35">
      <c r="A79" t="s">
        <v>148</v>
      </c>
      <c r="B79" s="10">
        <v>1126</v>
      </c>
      <c r="C79" s="10">
        <v>55</v>
      </c>
      <c r="D79" s="10">
        <v>1</v>
      </c>
      <c r="E79" s="11" t="s">
        <v>45</v>
      </c>
      <c r="F79" s="11" t="s">
        <v>109</v>
      </c>
      <c r="G79" t="s">
        <v>15</v>
      </c>
      <c r="H79" s="13">
        <v>44577</v>
      </c>
      <c r="I79" s="14" t="s">
        <v>149</v>
      </c>
      <c r="J79" t="s">
        <v>17</v>
      </c>
      <c r="K79" t="s">
        <v>150</v>
      </c>
      <c r="L79" s="12" t="s">
        <v>87</v>
      </c>
    </row>
    <row r="80" spans="1:12" x14ac:dyDescent="0.35">
      <c r="A80" t="s">
        <v>148</v>
      </c>
      <c r="B80" s="10">
        <v>1126</v>
      </c>
      <c r="C80" s="10">
        <v>55</v>
      </c>
      <c r="D80" s="10">
        <v>1</v>
      </c>
      <c r="E80" s="11" t="s">
        <v>45</v>
      </c>
      <c r="F80" s="11" t="s">
        <v>109</v>
      </c>
      <c r="G80" t="s">
        <v>15</v>
      </c>
      <c r="H80" s="13">
        <v>44911</v>
      </c>
      <c r="I80" s="14" t="s">
        <v>151</v>
      </c>
      <c r="J80" t="s">
        <v>25</v>
      </c>
      <c r="K80" t="s">
        <v>26</v>
      </c>
      <c r="L80" s="12" t="s">
        <v>152</v>
      </c>
    </row>
    <row r="81" spans="1:12" x14ac:dyDescent="0.35">
      <c r="A81" t="s">
        <v>153</v>
      </c>
      <c r="B81" s="10">
        <v>7533</v>
      </c>
      <c r="C81" s="10">
        <v>3508</v>
      </c>
      <c r="D81" s="10">
        <v>12</v>
      </c>
      <c r="E81" s="11" t="s">
        <v>45</v>
      </c>
      <c r="F81" s="11" t="s">
        <v>46</v>
      </c>
      <c r="G81" t="s">
        <v>15</v>
      </c>
      <c r="H81" s="13">
        <v>45120</v>
      </c>
      <c r="I81" s="14" t="s">
        <v>154</v>
      </c>
      <c r="J81" t="s">
        <v>42</v>
      </c>
      <c r="K81" t="s">
        <v>75</v>
      </c>
      <c r="L81" s="12" t="s">
        <v>105</v>
      </c>
    </row>
    <row r="82" spans="1:12" x14ac:dyDescent="0.35">
      <c r="A82" t="s">
        <v>153</v>
      </c>
      <c r="B82" s="10">
        <v>4734</v>
      </c>
      <c r="C82" s="10">
        <v>1178</v>
      </c>
      <c r="D82" s="10">
        <v>16</v>
      </c>
      <c r="E82" s="11" t="s">
        <v>30</v>
      </c>
      <c r="F82" s="11" t="s">
        <v>78</v>
      </c>
      <c r="G82" t="s">
        <v>47</v>
      </c>
      <c r="H82" s="13">
        <v>45120</v>
      </c>
      <c r="I82" s="14" t="s">
        <v>154</v>
      </c>
      <c r="J82" t="s">
        <v>42</v>
      </c>
      <c r="K82" t="s">
        <v>75</v>
      </c>
      <c r="L82" s="12" t="s">
        <v>105</v>
      </c>
    </row>
    <row r="83" spans="1:12" x14ac:dyDescent="0.35">
      <c r="A83" t="s">
        <v>153</v>
      </c>
      <c r="B83" s="10">
        <v>4074</v>
      </c>
      <c r="C83" s="10">
        <v>1175</v>
      </c>
      <c r="D83" s="10">
        <v>6</v>
      </c>
      <c r="E83" s="11" t="s">
        <v>13</v>
      </c>
      <c r="F83" s="11" t="s">
        <v>14</v>
      </c>
      <c r="G83" t="s">
        <v>32</v>
      </c>
      <c r="H83" s="13">
        <v>45120</v>
      </c>
      <c r="I83" s="14" t="s">
        <v>154</v>
      </c>
      <c r="J83" t="s">
        <v>42</v>
      </c>
      <c r="K83" t="s">
        <v>75</v>
      </c>
      <c r="L83" s="12" t="s">
        <v>105</v>
      </c>
    </row>
    <row r="84" spans="1:12" x14ac:dyDescent="0.35">
      <c r="A84" t="s">
        <v>153</v>
      </c>
      <c r="B84" s="10">
        <v>2334</v>
      </c>
      <c r="C84" s="10">
        <v>484</v>
      </c>
      <c r="D84" s="10">
        <v>3</v>
      </c>
      <c r="E84" s="11" t="s">
        <v>45</v>
      </c>
      <c r="F84" s="11" t="s">
        <v>60</v>
      </c>
      <c r="G84" t="s">
        <v>47</v>
      </c>
      <c r="H84" s="13">
        <v>45120</v>
      </c>
      <c r="I84" s="14" t="s">
        <v>154</v>
      </c>
      <c r="J84" t="s">
        <v>42</v>
      </c>
      <c r="K84" t="s">
        <v>75</v>
      </c>
      <c r="L84" s="12" t="s">
        <v>105</v>
      </c>
    </row>
    <row r="85" spans="1:12" x14ac:dyDescent="0.35">
      <c r="A85" t="s">
        <v>155</v>
      </c>
      <c r="B85" s="10">
        <v>2750</v>
      </c>
      <c r="C85" s="10">
        <v>1239</v>
      </c>
      <c r="D85" s="10">
        <v>11</v>
      </c>
      <c r="E85" s="11" t="s">
        <v>13</v>
      </c>
      <c r="F85" s="11" t="s">
        <v>82</v>
      </c>
      <c r="G85" t="s">
        <v>32</v>
      </c>
      <c r="H85" s="13">
        <v>45726</v>
      </c>
      <c r="I85" s="14" t="s">
        <v>156</v>
      </c>
      <c r="J85" t="s">
        <v>25</v>
      </c>
      <c r="K85" t="s">
        <v>26</v>
      </c>
      <c r="L85" s="12" t="s">
        <v>157</v>
      </c>
    </row>
    <row r="86" spans="1:12" x14ac:dyDescent="0.35">
      <c r="A86" t="s">
        <v>155</v>
      </c>
      <c r="B86" s="10">
        <v>2750</v>
      </c>
      <c r="C86" s="10">
        <v>1239</v>
      </c>
      <c r="D86" s="10">
        <v>11</v>
      </c>
      <c r="E86" s="11" t="s">
        <v>13</v>
      </c>
      <c r="F86" s="11" t="s">
        <v>82</v>
      </c>
      <c r="G86" t="s">
        <v>32</v>
      </c>
      <c r="H86" s="13">
        <v>45559</v>
      </c>
      <c r="I86" s="14" t="s">
        <v>158</v>
      </c>
      <c r="J86" t="s">
        <v>98</v>
      </c>
      <c r="K86" t="s">
        <v>117</v>
      </c>
      <c r="L86" s="12" t="s">
        <v>159</v>
      </c>
    </row>
    <row r="87" spans="1:12" x14ac:dyDescent="0.35">
      <c r="A87" t="s">
        <v>155</v>
      </c>
      <c r="B87" s="10">
        <v>8639</v>
      </c>
      <c r="C87" s="10">
        <v>3104</v>
      </c>
      <c r="D87" s="10">
        <v>19</v>
      </c>
      <c r="E87" s="11" t="s">
        <v>30</v>
      </c>
      <c r="F87" s="11" t="s">
        <v>31</v>
      </c>
      <c r="G87" t="s">
        <v>40</v>
      </c>
      <c r="H87" s="13">
        <v>45726</v>
      </c>
      <c r="I87" s="14" t="s">
        <v>156</v>
      </c>
      <c r="J87" t="s">
        <v>25</v>
      </c>
      <c r="K87" t="s">
        <v>26</v>
      </c>
      <c r="L87" s="12" t="s">
        <v>157</v>
      </c>
    </row>
    <row r="88" spans="1:12" x14ac:dyDescent="0.35">
      <c r="A88" t="s">
        <v>155</v>
      </c>
      <c r="B88" s="10">
        <v>8639</v>
      </c>
      <c r="C88" s="10">
        <v>3104</v>
      </c>
      <c r="D88" s="10">
        <v>19</v>
      </c>
      <c r="E88" s="11" t="s">
        <v>30</v>
      </c>
      <c r="F88" s="11" t="s">
        <v>31</v>
      </c>
      <c r="G88" t="s">
        <v>40</v>
      </c>
      <c r="H88" s="13">
        <v>45559</v>
      </c>
      <c r="I88" s="14" t="s">
        <v>158</v>
      </c>
      <c r="J88" t="s">
        <v>98</v>
      </c>
      <c r="K88" t="s">
        <v>117</v>
      </c>
      <c r="L88" s="12" t="s">
        <v>159</v>
      </c>
    </row>
    <row r="89" spans="1:12" x14ac:dyDescent="0.35">
      <c r="A89" t="s">
        <v>160</v>
      </c>
      <c r="B89" s="10">
        <v>3808</v>
      </c>
      <c r="C89" s="10">
        <v>1192</v>
      </c>
      <c r="D89" s="10">
        <v>4</v>
      </c>
      <c r="E89" s="11" t="s">
        <v>30</v>
      </c>
      <c r="F89" s="11" t="s">
        <v>57</v>
      </c>
      <c r="G89" t="s">
        <v>15</v>
      </c>
      <c r="H89" s="13">
        <v>43934</v>
      </c>
      <c r="I89" s="14" t="s">
        <v>161</v>
      </c>
      <c r="J89" t="s">
        <v>25</v>
      </c>
      <c r="K89" t="s">
        <v>51</v>
      </c>
      <c r="L89" s="12" t="s">
        <v>162</v>
      </c>
    </row>
    <row r="90" spans="1:12" x14ac:dyDescent="0.35">
      <c r="A90" t="s">
        <v>160</v>
      </c>
      <c r="B90" s="10">
        <v>2588</v>
      </c>
      <c r="C90" s="10">
        <v>705</v>
      </c>
      <c r="D90" s="10">
        <v>16</v>
      </c>
      <c r="E90" s="11" t="s">
        <v>30</v>
      </c>
      <c r="F90" s="11" t="s">
        <v>31</v>
      </c>
      <c r="G90" t="s">
        <v>47</v>
      </c>
      <c r="H90" s="13">
        <v>43934</v>
      </c>
      <c r="I90" s="14" t="s">
        <v>161</v>
      </c>
      <c r="J90" t="s">
        <v>25</v>
      </c>
      <c r="K90" t="s">
        <v>51</v>
      </c>
      <c r="L90" s="12" t="s">
        <v>162</v>
      </c>
    </row>
    <row r="91" spans="1:12" x14ac:dyDescent="0.35">
      <c r="A91" t="s">
        <v>163</v>
      </c>
      <c r="B91" s="10">
        <v>1591</v>
      </c>
      <c r="C91" s="10">
        <v>727</v>
      </c>
      <c r="D91" s="10">
        <v>5</v>
      </c>
      <c r="E91" s="11" t="s">
        <v>13</v>
      </c>
      <c r="F91" s="11" t="s">
        <v>14</v>
      </c>
      <c r="G91" t="s">
        <v>47</v>
      </c>
      <c r="H91" s="13">
        <v>44739</v>
      </c>
      <c r="I91" s="14" t="s">
        <v>164</v>
      </c>
      <c r="J91" t="s">
        <v>21</v>
      </c>
      <c r="K91" t="s">
        <v>63</v>
      </c>
      <c r="L91" s="12" t="s">
        <v>165</v>
      </c>
    </row>
    <row r="92" spans="1:12" x14ac:dyDescent="0.35">
      <c r="A92" t="s">
        <v>163</v>
      </c>
      <c r="B92" s="10">
        <v>1591</v>
      </c>
      <c r="C92" s="10">
        <v>727</v>
      </c>
      <c r="D92" s="10">
        <v>5</v>
      </c>
      <c r="E92" s="11" t="s">
        <v>13</v>
      </c>
      <c r="F92" s="11" t="s">
        <v>14</v>
      </c>
      <c r="G92" t="s">
        <v>47</v>
      </c>
      <c r="H92" s="13">
        <v>44269</v>
      </c>
      <c r="I92" s="14" t="s">
        <v>166</v>
      </c>
      <c r="J92" t="s">
        <v>17</v>
      </c>
      <c r="K92" t="s">
        <v>150</v>
      </c>
      <c r="L92" s="12" t="s">
        <v>167</v>
      </c>
    </row>
    <row r="93" spans="1:12" x14ac:dyDescent="0.35">
      <c r="A93" t="s">
        <v>163</v>
      </c>
      <c r="B93" s="10">
        <v>1591</v>
      </c>
      <c r="C93" s="10">
        <v>727</v>
      </c>
      <c r="D93" s="10">
        <v>5</v>
      </c>
      <c r="E93" s="11" t="s">
        <v>13</v>
      </c>
      <c r="F93" s="11" t="s">
        <v>14</v>
      </c>
      <c r="G93" t="s">
        <v>47</v>
      </c>
      <c r="H93" s="13">
        <v>44615</v>
      </c>
      <c r="I93" s="14" t="s">
        <v>168</v>
      </c>
      <c r="J93" t="s">
        <v>98</v>
      </c>
      <c r="K93" t="s">
        <v>107</v>
      </c>
      <c r="L93" s="12" t="s">
        <v>137</v>
      </c>
    </row>
    <row r="94" spans="1:12" x14ac:dyDescent="0.35">
      <c r="A94" t="s">
        <v>169</v>
      </c>
      <c r="B94" s="10">
        <v>1757</v>
      </c>
      <c r="C94" s="10">
        <v>622</v>
      </c>
      <c r="D94" s="10">
        <v>10</v>
      </c>
      <c r="E94" s="11" t="s">
        <v>45</v>
      </c>
      <c r="F94" s="11" t="s">
        <v>49</v>
      </c>
      <c r="G94" t="s">
        <v>15</v>
      </c>
      <c r="H94" s="13">
        <v>44649</v>
      </c>
      <c r="I94" s="14" t="s">
        <v>170</v>
      </c>
      <c r="J94" t="s">
        <v>98</v>
      </c>
      <c r="K94" t="s">
        <v>117</v>
      </c>
      <c r="L94" s="12" t="s">
        <v>134</v>
      </c>
    </row>
    <row r="95" spans="1:12" x14ac:dyDescent="0.35">
      <c r="A95" t="s">
        <v>169</v>
      </c>
      <c r="B95" s="10">
        <v>1757</v>
      </c>
      <c r="C95" s="10">
        <v>622</v>
      </c>
      <c r="D95" s="10">
        <v>10</v>
      </c>
      <c r="E95" s="11" t="s">
        <v>45</v>
      </c>
      <c r="F95" s="11" t="s">
        <v>49</v>
      </c>
      <c r="G95" t="s">
        <v>15</v>
      </c>
      <c r="H95" s="13">
        <v>44885</v>
      </c>
      <c r="I95" s="14" t="s">
        <v>171</v>
      </c>
      <c r="J95" t="s">
        <v>21</v>
      </c>
      <c r="K95" t="s">
        <v>172</v>
      </c>
      <c r="L95" s="12" t="s">
        <v>44</v>
      </c>
    </row>
    <row r="96" spans="1:12" x14ac:dyDescent="0.35">
      <c r="A96" t="s">
        <v>173</v>
      </c>
      <c r="B96" s="10">
        <v>6940</v>
      </c>
      <c r="C96" s="10">
        <v>253</v>
      </c>
      <c r="D96" s="10">
        <v>15</v>
      </c>
      <c r="E96" s="11" t="s">
        <v>45</v>
      </c>
      <c r="F96" s="11" t="s">
        <v>109</v>
      </c>
      <c r="G96" t="s">
        <v>32</v>
      </c>
      <c r="H96" s="13">
        <v>44512</v>
      </c>
      <c r="I96" s="14" t="s">
        <v>174</v>
      </c>
      <c r="J96" t="s">
        <v>17</v>
      </c>
      <c r="K96" t="s">
        <v>34</v>
      </c>
      <c r="L96" s="12" t="s">
        <v>175</v>
      </c>
    </row>
    <row r="97" spans="1:12" x14ac:dyDescent="0.35">
      <c r="A97" t="s">
        <v>173</v>
      </c>
      <c r="B97" s="10">
        <v>5105</v>
      </c>
      <c r="C97" s="10">
        <v>465</v>
      </c>
      <c r="D97" s="10">
        <v>5</v>
      </c>
      <c r="E97" s="11" t="s">
        <v>13</v>
      </c>
      <c r="F97" s="11" t="s">
        <v>28</v>
      </c>
      <c r="G97" t="s">
        <v>15</v>
      </c>
      <c r="H97" s="13">
        <v>44512</v>
      </c>
      <c r="I97" s="14" t="s">
        <v>174</v>
      </c>
      <c r="J97" t="s">
        <v>17</v>
      </c>
      <c r="K97" t="s">
        <v>34</v>
      </c>
      <c r="L97" s="12" t="s">
        <v>175</v>
      </c>
    </row>
    <row r="98" spans="1:12" x14ac:dyDescent="0.35">
      <c r="A98" t="s">
        <v>176</v>
      </c>
      <c r="B98" s="10">
        <v>5578</v>
      </c>
      <c r="C98" s="10">
        <v>277</v>
      </c>
      <c r="D98" s="10">
        <v>16</v>
      </c>
      <c r="E98" s="11" t="s">
        <v>45</v>
      </c>
      <c r="F98" s="11" t="s">
        <v>46</v>
      </c>
      <c r="G98" t="s">
        <v>65</v>
      </c>
      <c r="H98" s="13">
        <v>44425</v>
      </c>
      <c r="I98" s="14" t="s">
        <v>177</v>
      </c>
      <c r="J98" t="s">
        <v>17</v>
      </c>
      <c r="K98" t="s">
        <v>18</v>
      </c>
      <c r="L98" s="12" t="s">
        <v>178</v>
      </c>
    </row>
    <row r="99" spans="1:12" x14ac:dyDescent="0.35">
      <c r="A99" t="s">
        <v>176</v>
      </c>
      <c r="B99" s="10">
        <v>5578</v>
      </c>
      <c r="C99" s="10">
        <v>277</v>
      </c>
      <c r="D99" s="10">
        <v>16</v>
      </c>
      <c r="E99" s="11" t="s">
        <v>45</v>
      </c>
      <c r="F99" s="11" t="s">
        <v>46</v>
      </c>
      <c r="G99" t="s">
        <v>65</v>
      </c>
      <c r="H99" s="13">
        <v>44697</v>
      </c>
      <c r="I99" s="14" t="s">
        <v>179</v>
      </c>
      <c r="J99" t="s">
        <v>98</v>
      </c>
      <c r="K99" t="s">
        <v>99</v>
      </c>
      <c r="L99" s="12" t="s">
        <v>180</v>
      </c>
    </row>
    <row r="100" spans="1:12" x14ac:dyDescent="0.35">
      <c r="A100" t="s">
        <v>181</v>
      </c>
      <c r="B100" s="10">
        <v>5224</v>
      </c>
      <c r="C100" s="10">
        <v>1958</v>
      </c>
      <c r="D100" s="10">
        <v>16</v>
      </c>
      <c r="E100" s="11" t="s">
        <v>45</v>
      </c>
      <c r="F100" s="11" t="s">
        <v>49</v>
      </c>
      <c r="G100" t="s">
        <v>47</v>
      </c>
      <c r="H100" s="13">
        <v>45123</v>
      </c>
      <c r="I100" s="14" t="s">
        <v>182</v>
      </c>
      <c r="J100" t="s">
        <v>71</v>
      </c>
      <c r="K100" t="s">
        <v>138</v>
      </c>
      <c r="L100" s="12" t="s">
        <v>105</v>
      </c>
    </row>
    <row r="101" spans="1:12" x14ac:dyDescent="0.35">
      <c r="A101" t="s">
        <v>181</v>
      </c>
      <c r="B101" s="10">
        <v>5002</v>
      </c>
      <c r="C101" s="10">
        <v>1801</v>
      </c>
      <c r="D101" s="10">
        <v>11</v>
      </c>
      <c r="E101" s="11" t="s">
        <v>30</v>
      </c>
      <c r="F101" s="11" t="s">
        <v>57</v>
      </c>
      <c r="G101" t="s">
        <v>47</v>
      </c>
      <c r="H101" s="13">
        <v>45123</v>
      </c>
      <c r="I101" s="14" t="s">
        <v>182</v>
      </c>
      <c r="J101" t="s">
        <v>71</v>
      </c>
      <c r="K101" t="s">
        <v>138</v>
      </c>
      <c r="L101" s="12" t="s">
        <v>105</v>
      </c>
    </row>
    <row r="102" spans="1:12" x14ac:dyDescent="0.35">
      <c r="A102" t="s">
        <v>181</v>
      </c>
      <c r="B102" s="10">
        <v>7380</v>
      </c>
      <c r="C102" s="10">
        <v>1673</v>
      </c>
      <c r="D102" s="10">
        <v>18</v>
      </c>
      <c r="E102" s="11" t="s">
        <v>30</v>
      </c>
      <c r="F102" s="11" t="s">
        <v>57</v>
      </c>
      <c r="G102" t="s">
        <v>65</v>
      </c>
      <c r="H102" s="13">
        <v>45123</v>
      </c>
      <c r="I102" s="14" t="s">
        <v>182</v>
      </c>
      <c r="J102" t="s">
        <v>71</v>
      </c>
      <c r="K102" t="s">
        <v>138</v>
      </c>
      <c r="L102" s="12" t="s">
        <v>105</v>
      </c>
    </row>
    <row r="103" spans="1:12" x14ac:dyDescent="0.35">
      <c r="A103" t="s">
        <v>183</v>
      </c>
      <c r="B103" s="10">
        <v>7595</v>
      </c>
      <c r="C103" s="10">
        <v>2873</v>
      </c>
      <c r="D103" s="10">
        <v>4</v>
      </c>
      <c r="E103" s="11" t="s">
        <v>45</v>
      </c>
      <c r="F103" s="11" t="s">
        <v>49</v>
      </c>
      <c r="G103" t="s">
        <v>32</v>
      </c>
      <c r="H103" s="13">
        <v>44061</v>
      </c>
      <c r="I103" s="14" t="s">
        <v>184</v>
      </c>
      <c r="J103" t="s">
        <v>42</v>
      </c>
      <c r="K103" t="s">
        <v>43</v>
      </c>
      <c r="L103" s="12" t="s">
        <v>185</v>
      </c>
    </row>
    <row r="104" spans="1:12" x14ac:dyDescent="0.35">
      <c r="A104" t="s">
        <v>183</v>
      </c>
      <c r="B104" s="10">
        <v>7595</v>
      </c>
      <c r="C104" s="10">
        <v>2873</v>
      </c>
      <c r="D104" s="10">
        <v>4</v>
      </c>
      <c r="E104" s="11" t="s">
        <v>45</v>
      </c>
      <c r="F104" s="11" t="s">
        <v>49</v>
      </c>
      <c r="G104" t="s">
        <v>32</v>
      </c>
      <c r="H104" s="13">
        <v>44670</v>
      </c>
      <c r="I104" s="14" t="s">
        <v>186</v>
      </c>
      <c r="J104" t="s">
        <v>25</v>
      </c>
      <c r="K104" t="s">
        <v>68</v>
      </c>
      <c r="L104" s="12" t="s">
        <v>187</v>
      </c>
    </row>
    <row r="105" spans="1:12" x14ac:dyDescent="0.35">
      <c r="A105" t="s">
        <v>188</v>
      </c>
      <c r="B105" s="10">
        <v>1954</v>
      </c>
      <c r="C105" s="10">
        <v>294</v>
      </c>
      <c r="D105" s="10">
        <v>7</v>
      </c>
      <c r="E105" s="11" t="s">
        <v>45</v>
      </c>
      <c r="F105" s="11" t="s">
        <v>60</v>
      </c>
      <c r="G105" t="s">
        <v>32</v>
      </c>
      <c r="H105" s="13">
        <v>44918</v>
      </c>
      <c r="I105" s="14" t="s">
        <v>189</v>
      </c>
      <c r="J105" t="s">
        <v>71</v>
      </c>
      <c r="K105" t="s">
        <v>86</v>
      </c>
      <c r="L105" s="12" t="s">
        <v>152</v>
      </c>
    </row>
    <row r="106" spans="1:12" x14ac:dyDescent="0.35">
      <c r="A106" t="s">
        <v>190</v>
      </c>
      <c r="B106" s="10">
        <v>523</v>
      </c>
      <c r="C106" s="10">
        <v>95</v>
      </c>
      <c r="D106" s="10">
        <v>20</v>
      </c>
      <c r="E106" s="11" t="s">
        <v>13</v>
      </c>
      <c r="F106" s="11" t="s">
        <v>28</v>
      </c>
      <c r="G106" t="s">
        <v>40</v>
      </c>
      <c r="H106" s="13">
        <v>45633</v>
      </c>
      <c r="I106" s="14" t="s">
        <v>191</v>
      </c>
      <c r="J106" t="s">
        <v>71</v>
      </c>
      <c r="K106" t="s">
        <v>72</v>
      </c>
      <c r="L106" s="12" t="s">
        <v>23</v>
      </c>
    </row>
    <row r="107" spans="1:12" x14ac:dyDescent="0.35">
      <c r="A107" t="s">
        <v>192</v>
      </c>
      <c r="B107" s="10">
        <v>5704</v>
      </c>
      <c r="C107" s="10">
        <v>714</v>
      </c>
      <c r="D107" s="10">
        <v>13</v>
      </c>
      <c r="E107" s="11" t="s">
        <v>13</v>
      </c>
      <c r="F107" s="11" t="s">
        <v>39</v>
      </c>
      <c r="G107" t="s">
        <v>40</v>
      </c>
      <c r="H107" s="13">
        <v>44595</v>
      </c>
      <c r="I107" s="14" t="s">
        <v>193</v>
      </c>
      <c r="J107" t="s">
        <v>71</v>
      </c>
      <c r="K107" t="s">
        <v>86</v>
      </c>
      <c r="L107" s="12" t="s">
        <v>137</v>
      </c>
    </row>
    <row r="108" spans="1:12" x14ac:dyDescent="0.35">
      <c r="A108" t="s">
        <v>192</v>
      </c>
      <c r="B108" s="10">
        <v>5704</v>
      </c>
      <c r="C108" s="10">
        <v>714</v>
      </c>
      <c r="D108" s="10">
        <v>13</v>
      </c>
      <c r="E108" s="11" t="s">
        <v>13</v>
      </c>
      <c r="F108" s="11" t="s">
        <v>39</v>
      </c>
      <c r="G108" t="s">
        <v>40</v>
      </c>
      <c r="H108" s="13">
        <v>44542</v>
      </c>
      <c r="I108" s="14" t="s">
        <v>194</v>
      </c>
      <c r="J108" t="s">
        <v>42</v>
      </c>
      <c r="K108" t="s">
        <v>75</v>
      </c>
      <c r="L108" s="12" t="s">
        <v>90</v>
      </c>
    </row>
    <row r="109" spans="1:12" x14ac:dyDescent="0.35">
      <c r="A109" t="s">
        <v>192</v>
      </c>
      <c r="B109" s="10">
        <v>8797</v>
      </c>
      <c r="C109" s="10">
        <v>1010</v>
      </c>
      <c r="D109" s="10">
        <v>8</v>
      </c>
      <c r="E109" s="11" t="s">
        <v>45</v>
      </c>
      <c r="F109" s="11" t="s">
        <v>46</v>
      </c>
      <c r="G109" t="s">
        <v>15</v>
      </c>
      <c r="H109" s="13">
        <v>44595</v>
      </c>
      <c r="I109" s="14" t="s">
        <v>193</v>
      </c>
      <c r="J109" t="s">
        <v>71</v>
      </c>
      <c r="K109" t="s">
        <v>86</v>
      </c>
      <c r="L109" s="12" t="s">
        <v>137</v>
      </c>
    </row>
    <row r="110" spans="1:12" x14ac:dyDescent="0.35">
      <c r="A110" t="s">
        <v>192</v>
      </c>
      <c r="B110" s="10">
        <v>8797</v>
      </c>
      <c r="C110" s="10">
        <v>1010</v>
      </c>
      <c r="D110" s="10">
        <v>8</v>
      </c>
      <c r="E110" s="11" t="s">
        <v>45</v>
      </c>
      <c r="F110" s="11" t="s">
        <v>46</v>
      </c>
      <c r="G110" t="s">
        <v>15</v>
      </c>
      <c r="H110" s="13">
        <v>44542</v>
      </c>
      <c r="I110" s="14" t="s">
        <v>194</v>
      </c>
      <c r="J110" t="s">
        <v>42</v>
      </c>
      <c r="K110" t="s">
        <v>75</v>
      </c>
      <c r="L110" s="12" t="s">
        <v>90</v>
      </c>
    </row>
    <row r="111" spans="1:12" x14ac:dyDescent="0.35">
      <c r="A111" t="s">
        <v>192</v>
      </c>
      <c r="B111" s="10">
        <v>9236</v>
      </c>
      <c r="C111" s="10">
        <v>2899</v>
      </c>
      <c r="D111" s="10">
        <v>5</v>
      </c>
      <c r="E111" s="11" t="s">
        <v>13</v>
      </c>
      <c r="F111" s="11" t="s">
        <v>39</v>
      </c>
      <c r="G111" t="s">
        <v>32</v>
      </c>
      <c r="H111" s="13">
        <v>44595</v>
      </c>
      <c r="I111" s="14" t="s">
        <v>193</v>
      </c>
      <c r="J111" t="s">
        <v>71</v>
      </c>
      <c r="K111" t="s">
        <v>86</v>
      </c>
      <c r="L111" s="12" t="s">
        <v>137</v>
      </c>
    </row>
    <row r="112" spans="1:12" x14ac:dyDescent="0.35">
      <c r="A112" t="s">
        <v>192</v>
      </c>
      <c r="B112" s="10">
        <v>9236</v>
      </c>
      <c r="C112" s="10">
        <v>2899</v>
      </c>
      <c r="D112" s="10">
        <v>5</v>
      </c>
      <c r="E112" s="11" t="s">
        <v>13</v>
      </c>
      <c r="F112" s="11" t="s">
        <v>39</v>
      </c>
      <c r="G112" t="s">
        <v>32</v>
      </c>
      <c r="H112" s="13">
        <v>44542</v>
      </c>
      <c r="I112" s="14" t="s">
        <v>194</v>
      </c>
      <c r="J112" t="s">
        <v>42</v>
      </c>
      <c r="K112" t="s">
        <v>75</v>
      </c>
      <c r="L112" s="12" t="s">
        <v>90</v>
      </c>
    </row>
    <row r="113" spans="1:12" x14ac:dyDescent="0.35">
      <c r="A113" t="s">
        <v>195</v>
      </c>
      <c r="B113" s="10">
        <v>9109</v>
      </c>
      <c r="C113" s="10">
        <v>586</v>
      </c>
      <c r="D113" s="10">
        <v>17</v>
      </c>
      <c r="E113" s="11" t="s">
        <v>45</v>
      </c>
      <c r="F113" s="11" t="s">
        <v>60</v>
      </c>
      <c r="G113" t="s">
        <v>40</v>
      </c>
      <c r="H113" s="13">
        <v>43968</v>
      </c>
      <c r="I113" s="14" t="s">
        <v>196</v>
      </c>
      <c r="J113" t="s">
        <v>17</v>
      </c>
      <c r="K113" t="s">
        <v>18</v>
      </c>
      <c r="L113" s="12" t="s">
        <v>59</v>
      </c>
    </row>
    <row r="114" spans="1:12" x14ac:dyDescent="0.35">
      <c r="A114" t="s">
        <v>197</v>
      </c>
      <c r="B114" s="10">
        <v>4358</v>
      </c>
      <c r="C114" s="10">
        <v>526</v>
      </c>
      <c r="D114" s="10">
        <v>19</v>
      </c>
      <c r="E114" s="11" t="s">
        <v>13</v>
      </c>
      <c r="F114" s="11" t="s">
        <v>82</v>
      </c>
      <c r="G114" t="s">
        <v>47</v>
      </c>
      <c r="H114" s="13">
        <v>44900</v>
      </c>
      <c r="I114" s="14" t="s">
        <v>198</v>
      </c>
      <c r="J114" t="s">
        <v>71</v>
      </c>
      <c r="K114" t="s">
        <v>72</v>
      </c>
      <c r="L114" s="12" t="s">
        <v>152</v>
      </c>
    </row>
    <row r="115" spans="1:12" x14ac:dyDescent="0.35">
      <c r="A115" t="s">
        <v>197</v>
      </c>
      <c r="B115" s="10">
        <v>4358</v>
      </c>
      <c r="C115" s="10">
        <v>526</v>
      </c>
      <c r="D115" s="10">
        <v>19</v>
      </c>
      <c r="E115" s="11" t="s">
        <v>13</v>
      </c>
      <c r="F115" s="11" t="s">
        <v>82</v>
      </c>
      <c r="G115" t="s">
        <v>47</v>
      </c>
      <c r="H115" s="13">
        <v>45552</v>
      </c>
      <c r="I115" s="14" t="s">
        <v>199</v>
      </c>
      <c r="J115" t="s">
        <v>42</v>
      </c>
      <c r="K115" t="s">
        <v>92</v>
      </c>
      <c r="L115" s="12" t="s">
        <v>159</v>
      </c>
    </row>
    <row r="116" spans="1:12" x14ac:dyDescent="0.35">
      <c r="A116" t="s">
        <v>197</v>
      </c>
      <c r="B116" s="10">
        <v>6459</v>
      </c>
      <c r="C116" s="10">
        <v>825</v>
      </c>
      <c r="D116" s="10">
        <v>8</v>
      </c>
      <c r="E116" s="11" t="s">
        <v>13</v>
      </c>
      <c r="F116" s="11" t="s">
        <v>82</v>
      </c>
      <c r="G116" t="s">
        <v>47</v>
      </c>
      <c r="H116" s="13">
        <v>44900</v>
      </c>
      <c r="I116" s="14" t="s">
        <v>198</v>
      </c>
      <c r="J116" t="s">
        <v>71</v>
      </c>
      <c r="K116" t="s">
        <v>72</v>
      </c>
      <c r="L116" s="12" t="s">
        <v>152</v>
      </c>
    </row>
    <row r="117" spans="1:12" x14ac:dyDescent="0.35">
      <c r="A117" t="s">
        <v>197</v>
      </c>
      <c r="B117" s="10">
        <v>6459</v>
      </c>
      <c r="C117" s="10">
        <v>825</v>
      </c>
      <c r="D117" s="10">
        <v>8</v>
      </c>
      <c r="E117" s="11" t="s">
        <v>13</v>
      </c>
      <c r="F117" s="11" t="s">
        <v>82</v>
      </c>
      <c r="G117" t="s">
        <v>47</v>
      </c>
      <c r="H117" s="13">
        <v>45552</v>
      </c>
      <c r="I117" s="14" t="s">
        <v>199</v>
      </c>
      <c r="J117" t="s">
        <v>42</v>
      </c>
      <c r="K117" t="s">
        <v>92</v>
      </c>
      <c r="L117" s="12" t="s">
        <v>159</v>
      </c>
    </row>
    <row r="118" spans="1:12" x14ac:dyDescent="0.35">
      <c r="A118" t="s">
        <v>200</v>
      </c>
      <c r="B118" s="10">
        <v>2478</v>
      </c>
      <c r="C118" s="10">
        <v>92</v>
      </c>
      <c r="D118" s="10">
        <v>12</v>
      </c>
      <c r="E118" s="11" t="s">
        <v>45</v>
      </c>
      <c r="F118" s="11" t="s">
        <v>109</v>
      </c>
      <c r="G118" t="s">
        <v>65</v>
      </c>
      <c r="H118" s="13">
        <v>45054</v>
      </c>
      <c r="I118" s="14" t="s">
        <v>201</v>
      </c>
      <c r="J118" t="s">
        <v>42</v>
      </c>
      <c r="K118" t="s">
        <v>92</v>
      </c>
      <c r="L118" s="12" t="s">
        <v>127</v>
      </c>
    </row>
    <row r="119" spans="1:12" x14ac:dyDescent="0.35">
      <c r="A119" t="s">
        <v>200</v>
      </c>
      <c r="B119" s="10">
        <v>2478</v>
      </c>
      <c r="C119" s="10">
        <v>92</v>
      </c>
      <c r="D119" s="10">
        <v>12</v>
      </c>
      <c r="E119" s="11" t="s">
        <v>45</v>
      </c>
      <c r="F119" s="11" t="s">
        <v>109</v>
      </c>
      <c r="G119" t="s">
        <v>65</v>
      </c>
      <c r="H119" s="13">
        <v>44258</v>
      </c>
      <c r="I119" s="14" t="s">
        <v>202</v>
      </c>
      <c r="J119" t="s">
        <v>25</v>
      </c>
      <c r="K119" t="s">
        <v>51</v>
      </c>
      <c r="L119" s="12" t="s">
        <v>167</v>
      </c>
    </row>
    <row r="120" spans="1:12" x14ac:dyDescent="0.35">
      <c r="A120" t="s">
        <v>200</v>
      </c>
      <c r="B120" s="10">
        <v>2478</v>
      </c>
      <c r="C120" s="10">
        <v>92</v>
      </c>
      <c r="D120" s="10">
        <v>12</v>
      </c>
      <c r="E120" s="11" t="s">
        <v>45</v>
      </c>
      <c r="F120" s="11" t="s">
        <v>109</v>
      </c>
      <c r="G120" t="s">
        <v>65</v>
      </c>
      <c r="H120" s="13">
        <v>44273</v>
      </c>
      <c r="I120" s="14" t="s">
        <v>203</v>
      </c>
      <c r="J120" t="s">
        <v>42</v>
      </c>
      <c r="K120" t="s">
        <v>92</v>
      </c>
      <c r="L120" s="12" t="s">
        <v>167</v>
      </c>
    </row>
    <row r="121" spans="1:12" x14ac:dyDescent="0.35">
      <c r="A121" t="s">
        <v>200</v>
      </c>
      <c r="B121" s="10">
        <v>2478</v>
      </c>
      <c r="C121" s="10">
        <v>92</v>
      </c>
      <c r="D121" s="10">
        <v>12</v>
      </c>
      <c r="E121" s="11" t="s">
        <v>45</v>
      </c>
      <c r="F121" s="11" t="s">
        <v>109</v>
      </c>
      <c r="G121" t="s">
        <v>65</v>
      </c>
      <c r="H121" s="13">
        <v>45040</v>
      </c>
      <c r="I121" s="14" t="s">
        <v>204</v>
      </c>
      <c r="J121" t="s">
        <v>98</v>
      </c>
      <c r="K121" t="s">
        <v>117</v>
      </c>
      <c r="L121" s="12" t="s">
        <v>145</v>
      </c>
    </row>
    <row r="122" spans="1:12" x14ac:dyDescent="0.35">
      <c r="A122" t="s">
        <v>205</v>
      </c>
      <c r="B122" s="10">
        <v>9992</v>
      </c>
      <c r="C122" s="10">
        <v>3696</v>
      </c>
      <c r="D122" s="10">
        <v>20</v>
      </c>
      <c r="E122" s="11" t="s">
        <v>30</v>
      </c>
      <c r="F122" s="11" t="s">
        <v>31</v>
      </c>
      <c r="G122" t="s">
        <v>32</v>
      </c>
      <c r="H122" s="13">
        <v>44478</v>
      </c>
      <c r="I122" s="14" t="s">
        <v>206</v>
      </c>
      <c r="J122" t="s">
        <v>25</v>
      </c>
      <c r="K122" t="s">
        <v>68</v>
      </c>
      <c r="L122" s="12" t="s">
        <v>37</v>
      </c>
    </row>
    <row r="123" spans="1:12" x14ac:dyDescent="0.35">
      <c r="A123" t="s">
        <v>205</v>
      </c>
      <c r="B123" s="10">
        <v>9992</v>
      </c>
      <c r="C123" s="10">
        <v>3696</v>
      </c>
      <c r="D123" s="10">
        <v>20</v>
      </c>
      <c r="E123" s="11" t="s">
        <v>30</v>
      </c>
      <c r="F123" s="11" t="s">
        <v>31</v>
      </c>
      <c r="G123" t="s">
        <v>32</v>
      </c>
      <c r="H123" s="13">
        <v>44666</v>
      </c>
      <c r="I123" s="14" t="s">
        <v>207</v>
      </c>
      <c r="J123" t="s">
        <v>71</v>
      </c>
      <c r="K123" t="s">
        <v>86</v>
      </c>
      <c r="L123" s="12" t="s">
        <v>187</v>
      </c>
    </row>
    <row r="124" spans="1:12" x14ac:dyDescent="0.35">
      <c r="A124" t="s">
        <v>205</v>
      </c>
      <c r="B124" s="10">
        <v>9992</v>
      </c>
      <c r="C124" s="10">
        <v>3696</v>
      </c>
      <c r="D124" s="10">
        <v>20</v>
      </c>
      <c r="E124" s="11" t="s">
        <v>30</v>
      </c>
      <c r="F124" s="11" t="s">
        <v>31</v>
      </c>
      <c r="G124" t="s">
        <v>32</v>
      </c>
      <c r="H124" s="13">
        <v>44802</v>
      </c>
      <c r="I124" s="14" t="s">
        <v>208</v>
      </c>
      <c r="J124" t="s">
        <v>25</v>
      </c>
      <c r="K124" t="s">
        <v>68</v>
      </c>
      <c r="L124" s="12" t="s">
        <v>209</v>
      </c>
    </row>
    <row r="125" spans="1:12" x14ac:dyDescent="0.35">
      <c r="A125" t="s">
        <v>205</v>
      </c>
      <c r="B125" s="10">
        <v>9619</v>
      </c>
      <c r="C125" s="10">
        <v>3420</v>
      </c>
      <c r="D125" s="10">
        <v>7</v>
      </c>
      <c r="E125" s="11" t="s">
        <v>30</v>
      </c>
      <c r="F125" s="11" t="s">
        <v>78</v>
      </c>
      <c r="G125" t="s">
        <v>15</v>
      </c>
      <c r="H125" s="13">
        <v>44478</v>
      </c>
      <c r="I125" s="14" t="s">
        <v>206</v>
      </c>
      <c r="J125" t="s">
        <v>25</v>
      </c>
      <c r="K125" t="s">
        <v>68</v>
      </c>
      <c r="L125" s="12" t="s">
        <v>37</v>
      </c>
    </row>
    <row r="126" spans="1:12" x14ac:dyDescent="0.35">
      <c r="A126" t="s">
        <v>205</v>
      </c>
      <c r="B126" s="10">
        <v>9619</v>
      </c>
      <c r="C126" s="10">
        <v>3420</v>
      </c>
      <c r="D126" s="10">
        <v>7</v>
      </c>
      <c r="E126" s="11" t="s">
        <v>30</v>
      </c>
      <c r="F126" s="11" t="s">
        <v>78</v>
      </c>
      <c r="G126" t="s">
        <v>15</v>
      </c>
      <c r="H126" s="13">
        <v>44666</v>
      </c>
      <c r="I126" s="14" t="s">
        <v>207</v>
      </c>
      <c r="J126" t="s">
        <v>71</v>
      </c>
      <c r="K126" t="s">
        <v>86</v>
      </c>
      <c r="L126" s="12" t="s">
        <v>187</v>
      </c>
    </row>
    <row r="127" spans="1:12" x14ac:dyDescent="0.35">
      <c r="A127" t="s">
        <v>205</v>
      </c>
      <c r="B127" s="10">
        <v>9619</v>
      </c>
      <c r="C127" s="10">
        <v>3420</v>
      </c>
      <c r="D127" s="10">
        <v>7</v>
      </c>
      <c r="E127" s="11" t="s">
        <v>30</v>
      </c>
      <c r="F127" s="11" t="s">
        <v>78</v>
      </c>
      <c r="G127" t="s">
        <v>15</v>
      </c>
      <c r="H127" s="13">
        <v>44802</v>
      </c>
      <c r="I127" s="14" t="s">
        <v>208</v>
      </c>
      <c r="J127" t="s">
        <v>25</v>
      </c>
      <c r="K127" t="s">
        <v>68</v>
      </c>
      <c r="L127" s="12" t="s">
        <v>209</v>
      </c>
    </row>
    <row r="128" spans="1:12" x14ac:dyDescent="0.35">
      <c r="A128" t="s">
        <v>210</v>
      </c>
      <c r="B128" s="10">
        <v>9538</v>
      </c>
      <c r="C128" s="10">
        <v>3158</v>
      </c>
      <c r="D128" s="10">
        <v>20</v>
      </c>
      <c r="E128" s="11" t="s">
        <v>13</v>
      </c>
      <c r="F128" s="11" t="s">
        <v>28</v>
      </c>
      <c r="G128" t="s">
        <v>47</v>
      </c>
      <c r="H128" s="13">
        <v>45539</v>
      </c>
      <c r="I128" s="14" t="s">
        <v>211</v>
      </c>
      <c r="J128" t="s">
        <v>42</v>
      </c>
      <c r="K128" t="s">
        <v>92</v>
      </c>
      <c r="L128" s="12" t="s">
        <v>159</v>
      </c>
    </row>
    <row r="129" spans="1:12" x14ac:dyDescent="0.35">
      <c r="A129" t="s">
        <v>210</v>
      </c>
      <c r="B129" s="10">
        <v>9538</v>
      </c>
      <c r="C129" s="10">
        <v>3158</v>
      </c>
      <c r="D129" s="10">
        <v>20</v>
      </c>
      <c r="E129" s="11" t="s">
        <v>13</v>
      </c>
      <c r="F129" s="11" t="s">
        <v>28</v>
      </c>
      <c r="G129" t="s">
        <v>47</v>
      </c>
      <c r="H129" s="13">
        <v>44334</v>
      </c>
      <c r="I129" s="14" t="s">
        <v>212</v>
      </c>
      <c r="J129" t="s">
        <v>98</v>
      </c>
      <c r="K129" t="s">
        <v>117</v>
      </c>
      <c r="L129" s="12" t="s">
        <v>108</v>
      </c>
    </row>
    <row r="130" spans="1:12" x14ac:dyDescent="0.35">
      <c r="A130" t="s">
        <v>210</v>
      </c>
      <c r="B130" s="10">
        <v>9035</v>
      </c>
      <c r="C130" s="10">
        <v>1227</v>
      </c>
      <c r="D130" s="10">
        <v>14</v>
      </c>
      <c r="E130" s="11" t="s">
        <v>45</v>
      </c>
      <c r="F130" s="11" t="s">
        <v>49</v>
      </c>
      <c r="G130" t="s">
        <v>40</v>
      </c>
      <c r="H130" s="13">
        <v>45539</v>
      </c>
      <c r="I130" s="14" t="s">
        <v>211</v>
      </c>
      <c r="J130" t="s">
        <v>42</v>
      </c>
      <c r="K130" t="s">
        <v>92</v>
      </c>
      <c r="L130" s="12" t="s">
        <v>159</v>
      </c>
    </row>
    <row r="131" spans="1:12" x14ac:dyDescent="0.35">
      <c r="A131" t="s">
        <v>210</v>
      </c>
      <c r="B131" s="10">
        <v>9035</v>
      </c>
      <c r="C131" s="10">
        <v>1227</v>
      </c>
      <c r="D131" s="10">
        <v>14</v>
      </c>
      <c r="E131" s="11" t="s">
        <v>45</v>
      </c>
      <c r="F131" s="11" t="s">
        <v>49</v>
      </c>
      <c r="G131" t="s">
        <v>40</v>
      </c>
      <c r="H131" s="13">
        <v>44334</v>
      </c>
      <c r="I131" s="14" t="s">
        <v>212</v>
      </c>
      <c r="J131" t="s">
        <v>98</v>
      </c>
      <c r="K131" t="s">
        <v>117</v>
      </c>
      <c r="L131" s="12" t="s">
        <v>108</v>
      </c>
    </row>
    <row r="132" spans="1:12" x14ac:dyDescent="0.35">
      <c r="A132" t="s">
        <v>213</v>
      </c>
      <c r="B132" s="10">
        <v>2684</v>
      </c>
      <c r="C132" s="10">
        <v>670</v>
      </c>
      <c r="D132" s="10">
        <v>2</v>
      </c>
      <c r="E132" s="11" t="s">
        <v>30</v>
      </c>
      <c r="F132" s="11" t="s">
        <v>64</v>
      </c>
      <c r="G132" t="s">
        <v>65</v>
      </c>
      <c r="H132" s="13">
        <v>45475</v>
      </c>
      <c r="I132" s="14" t="s">
        <v>214</v>
      </c>
      <c r="J132" t="s">
        <v>17</v>
      </c>
      <c r="K132" t="s">
        <v>150</v>
      </c>
      <c r="L132" s="12" t="s">
        <v>215</v>
      </c>
    </row>
    <row r="133" spans="1:12" x14ac:dyDescent="0.35">
      <c r="A133" t="s">
        <v>213</v>
      </c>
      <c r="B133" s="10">
        <v>822</v>
      </c>
      <c r="C133" s="10">
        <v>147</v>
      </c>
      <c r="D133" s="10">
        <v>5</v>
      </c>
      <c r="E133" s="11" t="s">
        <v>45</v>
      </c>
      <c r="F133" s="11" t="s">
        <v>60</v>
      </c>
      <c r="G133" t="s">
        <v>47</v>
      </c>
      <c r="H133" s="13">
        <v>45475</v>
      </c>
      <c r="I133" s="14" t="s">
        <v>214</v>
      </c>
      <c r="J133" t="s">
        <v>17</v>
      </c>
      <c r="K133" t="s">
        <v>150</v>
      </c>
      <c r="L133" s="12" t="s">
        <v>215</v>
      </c>
    </row>
    <row r="134" spans="1:12" x14ac:dyDescent="0.35">
      <c r="A134" t="s">
        <v>213</v>
      </c>
      <c r="B134" s="10">
        <v>9730</v>
      </c>
      <c r="C134" s="10">
        <v>2341</v>
      </c>
      <c r="D134" s="10">
        <v>2</v>
      </c>
      <c r="E134" s="11" t="s">
        <v>45</v>
      </c>
      <c r="F134" s="11" t="s">
        <v>49</v>
      </c>
      <c r="G134" t="s">
        <v>40</v>
      </c>
      <c r="H134" s="13">
        <v>45475</v>
      </c>
      <c r="I134" s="14" t="s">
        <v>214</v>
      </c>
      <c r="J134" t="s">
        <v>17</v>
      </c>
      <c r="K134" t="s">
        <v>150</v>
      </c>
      <c r="L134" s="12" t="s">
        <v>215</v>
      </c>
    </row>
    <row r="135" spans="1:12" x14ac:dyDescent="0.35">
      <c r="A135" t="s">
        <v>213</v>
      </c>
      <c r="B135" s="10">
        <v>2483</v>
      </c>
      <c r="C135" s="10">
        <v>236</v>
      </c>
      <c r="D135" s="10">
        <v>2</v>
      </c>
      <c r="E135" s="11" t="s">
        <v>13</v>
      </c>
      <c r="F135" s="11" t="s">
        <v>14</v>
      </c>
      <c r="G135" t="s">
        <v>65</v>
      </c>
      <c r="H135" s="13">
        <v>45475</v>
      </c>
      <c r="I135" s="14" t="s">
        <v>214</v>
      </c>
      <c r="J135" t="s">
        <v>17</v>
      </c>
      <c r="K135" t="s">
        <v>150</v>
      </c>
      <c r="L135" s="12" t="s">
        <v>215</v>
      </c>
    </row>
    <row r="136" spans="1:12" x14ac:dyDescent="0.35">
      <c r="A136" t="s">
        <v>216</v>
      </c>
      <c r="B136" s="10">
        <v>1297</v>
      </c>
      <c r="C136" s="10">
        <v>600</v>
      </c>
      <c r="D136" s="10">
        <v>7</v>
      </c>
      <c r="E136" s="11" t="s">
        <v>30</v>
      </c>
      <c r="F136" s="11" t="s">
        <v>78</v>
      </c>
      <c r="G136" t="s">
        <v>47</v>
      </c>
      <c r="H136" s="13">
        <v>45338</v>
      </c>
      <c r="I136" s="14" t="s">
        <v>217</v>
      </c>
      <c r="J136" t="s">
        <v>17</v>
      </c>
      <c r="K136" t="s">
        <v>34</v>
      </c>
      <c r="L136" s="12" t="s">
        <v>218</v>
      </c>
    </row>
    <row r="137" spans="1:12" x14ac:dyDescent="0.35">
      <c r="A137" t="s">
        <v>216</v>
      </c>
      <c r="B137" s="10">
        <v>7909</v>
      </c>
      <c r="C137" s="10">
        <v>1942</v>
      </c>
      <c r="D137" s="10">
        <v>19</v>
      </c>
      <c r="E137" s="11" t="s">
        <v>13</v>
      </c>
      <c r="F137" s="11" t="s">
        <v>82</v>
      </c>
      <c r="G137" t="s">
        <v>65</v>
      </c>
      <c r="H137" s="13">
        <v>45338</v>
      </c>
      <c r="I137" s="14" t="s">
        <v>217</v>
      </c>
      <c r="J137" t="s">
        <v>17</v>
      </c>
      <c r="K137" t="s">
        <v>34</v>
      </c>
      <c r="L137" s="12" t="s">
        <v>218</v>
      </c>
    </row>
    <row r="138" spans="1:12" x14ac:dyDescent="0.35">
      <c r="A138" t="s">
        <v>219</v>
      </c>
      <c r="B138" s="10">
        <v>9768</v>
      </c>
      <c r="C138" s="10">
        <v>4518</v>
      </c>
      <c r="D138" s="10">
        <v>8</v>
      </c>
      <c r="E138" s="11" t="s">
        <v>45</v>
      </c>
      <c r="F138" s="11" t="s">
        <v>46</v>
      </c>
      <c r="G138" t="s">
        <v>47</v>
      </c>
      <c r="H138" s="13">
        <v>44526</v>
      </c>
      <c r="I138" s="14" t="s">
        <v>220</v>
      </c>
      <c r="J138" t="s">
        <v>71</v>
      </c>
      <c r="K138" t="s">
        <v>72</v>
      </c>
      <c r="L138" s="12" t="s">
        <v>175</v>
      </c>
    </row>
    <row r="139" spans="1:12" x14ac:dyDescent="0.35">
      <c r="A139" t="s">
        <v>219</v>
      </c>
      <c r="B139" s="10">
        <v>4968</v>
      </c>
      <c r="C139" s="10">
        <v>934</v>
      </c>
      <c r="D139" s="10">
        <v>5</v>
      </c>
      <c r="E139" s="11" t="s">
        <v>45</v>
      </c>
      <c r="F139" s="11" t="s">
        <v>60</v>
      </c>
      <c r="G139" t="s">
        <v>32</v>
      </c>
      <c r="H139" s="13">
        <v>44526</v>
      </c>
      <c r="I139" s="14" t="s">
        <v>220</v>
      </c>
      <c r="J139" t="s">
        <v>71</v>
      </c>
      <c r="K139" t="s">
        <v>72</v>
      </c>
      <c r="L139" s="12" t="s">
        <v>175</v>
      </c>
    </row>
    <row r="140" spans="1:12" x14ac:dyDescent="0.35">
      <c r="A140" t="s">
        <v>219</v>
      </c>
      <c r="B140" s="10">
        <v>1731</v>
      </c>
      <c r="C140" s="10">
        <v>149</v>
      </c>
      <c r="D140" s="10">
        <v>4</v>
      </c>
      <c r="E140" s="11" t="s">
        <v>13</v>
      </c>
      <c r="F140" s="11" t="s">
        <v>39</v>
      </c>
      <c r="G140" t="s">
        <v>40</v>
      </c>
      <c r="H140" s="13">
        <v>44526</v>
      </c>
      <c r="I140" s="14" t="s">
        <v>220</v>
      </c>
      <c r="J140" t="s">
        <v>71</v>
      </c>
      <c r="K140" t="s">
        <v>72</v>
      </c>
      <c r="L140" s="12" t="s">
        <v>175</v>
      </c>
    </row>
    <row r="141" spans="1:12" x14ac:dyDescent="0.35">
      <c r="A141" t="s">
        <v>221</v>
      </c>
      <c r="B141" s="10">
        <v>3433</v>
      </c>
      <c r="C141" s="10">
        <v>1169</v>
      </c>
      <c r="D141" s="10">
        <v>10</v>
      </c>
      <c r="E141" s="11" t="s">
        <v>30</v>
      </c>
      <c r="F141" s="11" t="s">
        <v>78</v>
      </c>
      <c r="G141" t="s">
        <v>65</v>
      </c>
      <c r="H141" s="13">
        <v>45323</v>
      </c>
      <c r="I141" s="14" t="s">
        <v>222</v>
      </c>
      <c r="J141" t="s">
        <v>42</v>
      </c>
      <c r="K141" t="s">
        <v>92</v>
      </c>
      <c r="L141" s="12" t="s">
        <v>218</v>
      </c>
    </row>
    <row r="142" spans="1:12" x14ac:dyDescent="0.35">
      <c r="A142" t="s">
        <v>221</v>
      </c>
      <c r="B142" s="10">
        <v>3433</v>
      </c>
      <c r="C142" s="10">
        <v>1169</v>
      </c>
      <c r="D142" s="10">
        <v>10</v>
      </c>
      <c r="E142" s="11" t="s">
        <v>30</v>
      </c>
      <c r="F142" s="11" t="s">
        <v>78</v>
      </c>
      <c r="G142" t="s">
        <v>65</v>
      </c>
      <c r="H142" s="13">
        <v>44448</v>
      </c>
      <c r="I142" s="14" t="s">
        <v>223</v>
      </c>
      <c r="J142" t="s">
        <v>21</v>
      </c>
      <c r="K142" t="s">
        <v>63</v>
      </c>
      <c r="L142" s="12" t="s">
        <v>224</v>
      </c>
    </row>
    <row r="143" spans="1:12" x14ac:dyDescent="0.35">
      <c r="A143" t="s">
        <v>221</v>
      </c>
      <c r="B143" s="10">
        <v>3433</v>
      </c>
      <c r="C143" s="10">
        <v>1169</v>
      </c>
      <c r="D143" s="10">
        <v>10</v>
      </c>
      <c r="E143" s="11" t="s">
        <v>30</v>
      </c>
      <c r="F143" s="11" t="s">
        <v>78</v>
      </c>
      <c r="G143" t="s">
        <v>65</v>
      </c>
      <c r="H143" s="13">
        <v>44447</v>
      </c>
      <c r="I143" s="14" t="s">
        <v>225</v>
      </c>
      <c r="J143" t="s">
        <v>42</v>
      </c>
      <c r="K143" t="s">
        <v>75</v>
      </c>
      <c r="L143" s="12" t="s">
        <v>224</v>
      </c>
    </row>
    <row r="144" spans="1:12" x14ac:dyDescent="0.35">
      <c r="A144" t="s">
        <v>221</v>
      </c>
      <c r="B144" s="10">
        <v>3887</v>
      </c>
      <c r="C144" s="10">
        <v>1490</v>
      </c>
      <c r="D144" s="10">
        <v>1</v>
      </c>
      <c r="E144" s="11" t="s">
        <v>30</v>
      </c>
      <c r="F144" s="11" t="s">
        <v>78</v>
      </c>
      <c r="G144" t="s">
        <v>32</v>
      </c>
      <c r="H144" s="13">
        <v>45323</v>
      </c>
      <c r="I144" s="14" t="s">
        <v>222</v>
      </c>
      <c r="J144" t="s">
        <v>42</v>
      </c>
      <c r="K144" t="s">
        <v>92</v>
      </c>
      <c r="L144" s="12" t="s">
        <v>218</v>
      </c>
    </row>
    <row r="145" spans="1:12" x14ac:dyDescent="0.35">
      <c r="A145" t="s">
        <v>221</v>
      </c>
      <c r="B145" s="10">
        <v>3887</v>
      </c>
      <c r="C145" s="10">
        <v>1490</v>
      </c>
      <c r="D145" s="10">
        <v>1</v>
      </c>
      <c r="E145" s="11" t="s">
        <v>30</v>
      </c>
      <c r="F145" s="11" t="s">
        <v>78</v>
      </c>
      <c r="G145" t="s">
        <v>32</v>
      </c>
      <c r="H145" s="13">
        <v>44448</v>
      </c>
      <c r="I145" s="14" t="s">
        <v>223</v>
      </c>
      <c r="J145" t="s">
        <v>21</v>
      </c>
      <c r="K145" t="s">
        <v>63</v>
      </c>
      <c r="L145" s="12" t="s">
        <v>224</v>
      </c>
    </row>
    <row r="146" spans="1:12" x14ac:dyDescent="0.35">
      <c r="A146" t="s">
        <v>221</v>
      </c>
      <c r="B146" s="10">
        <v>3887</v>
      </c>
      <c r="C146" s="10">
        <v>1490</v>
      </c>
      <c r="D146" s="10">
        <v>1</v>
      </c>
      <c r="E146" s="11" t="s">
        <v>30</v>
      </c>
      <c r="F146" s="11" t="s">
        <v>78</v>
      </c>
      <c r="G146" t="s">
        <v>32</v>
      </c>
      <c r="H146" s="13">
        <v>44447</v>
      </c>
      <c r="I146" s="14" t="s">
        <v>225</v>
      </c>
      <c r="J146" t="s">
        <v>42</v>
      </c>
      <c r="K146" t="s">
        <v>75</v>
      </c>
      <c r="L146" s="12" t="s">
        <v>224</v>
      </c>
    </row>
    <row r="147" spans="1:12" x14ac:dyDescent="0.35">
      <c r="A147" t="s">
        <v>226</v>
      </c>
      <c r="B147" s="10">
        <v>1801</v>
      </c>
      <c r="C147" s="10">
        <v>641</v>
      </c>
      <c r="D147" s="10">
        <v>20</v>
      </c>
      <c r="E147" s="11" t="s">
        <v>30</v>
      </c>
      <c r="F147" s="11" t="s">
        <v>57</v>
      </c>
      <c r="G147" t="s">
        <v>47</v>
      </c>
      <c r="H147" s="13">
        <v>45482</v>
      </c>
      <c r="I147" s="14" t="s">
        <v>227</v>
      </c>
      <c r="J147" t="s">
        <v>42</v>
      </c>
      <c r="K147" t="s">
        <v>43</v>
      </c>
      <c r="L147" s="12" t="s">
        <v>215</v>
      </c>
    </row>
    <row r="148" spans="1:12" x14ac:dyDescent="0.35">
      <c r="A148" t="s">
        <v>226</v>
      </c>
      <c r="B148" s="10">
        <v>5301</v>
      </c>
      <c r="C148" s="10">
        <v>817</v>
      </c>
      <c r="D148" s="10">
        <v>10</v>
      </c>
      <c r="E148" s="11" t="s">
        <v>45</v>
      </c>
      <c r="F148" s="11" t="s">
        <v>46</v>
      </c>
      <c r="G148" t="s">
        <v>32</v>
      </c>
      <c r="H148" s="13">
        <v>45482</v>
      </c>
      <c r="I148" s="14" t="s">
        <v>227</v>
      </c>
      <c r="J148" t="s">
        <v>42</v>
      </c>
      <c r="K148" t="s">
        <v>43</v>
      </c>
      <c r="L148" s="12" t="s">
        <v>215</v>
      </c>
    </row>
    <row r="149" spans="1:12" x14ac:dyDescent="0.35">
      <c r="A149" t="s">
        <v>226</v>
      </c>
      <c r="B149" s="10">
        <v>1166</v>
      </c>
      <c r="C149" s="10">
        <v>520</v>
      </c>
      <c r="D149" s="10">
        <v>12</v>
      </c>
      <c r="E149" s="11" t="s">
        <v>30</v>
      </c>
      <c r="F149" s="11" t="s">
        <v>64</v>
      </c>
      <c r="G149" t="s">
        <v>32</v>
      </c>
      <c r="H149" s="13">
        <v>45482</v>
      </c>
      <c r="I149" s="14" t="s">
        <v>227</v>
      </c>
      <c r="J149" t="s">
        <v>42</v>
      </c>
      <c r="K149" t="s">
        <v>43</v>
      </c>
      <c r="L149" s="12" t="s">
        <v>215</v>
      </c>
    </row>
    <row r="150" spans="1:12" x14ac:dyDescent="0.35">
      <c r="A150" t="s">
        <v>226</v>
      </c>
      <c r="B150" s="10">
        <v>3196</v>
      </c>
      <c r="C150" s="10">
        <v>1411</v>
      </c>
      <c r="D150" s="10">
        <v>15</v>
      </c>
      <c r="E150" s="11" t="s">
        <v>30</v>
      </c>
      <c r="F150" s="11" t="s">
        <v>64</v>
      </c>
      <c r="G150" t="s">
        <v>32</v>
      </c>
      <c r="H150" s="13">
        <v>45482</v>
      </c>
      <c r="I150" s="14" t="s">
        <v>227</v>
      </c>
      <c r="J150" t="s">
        <v>42</v>
      </c>
      <c r="K150" t="s">
        <v>43</v>
      </c>
      <c r="L150" s="12" t="s">
        <v>215</v>
      </c>
    </row>
    <row r="151" spans="1:12" x14ac:dyDescent="0.35">
      <c r="A151" t="s">
        <v>228</v>
      </c>
      <c r="B151" s="10">
        <v>3428</v>
      </c>
      <c r="C151" s="10">
        <v>350</v>
      </c>
      <c r="D151" s="10">
        <v>1</v>
      </c>
      <c r="E151" s="11" t="s">
        <v>45</v>
      </c>
      <c r="F151" s="11" t="s">
        <v>49</v>
      </c>
      <c r="G151" t="s">
        <v>47</v>
      </c>
      <c r="H151" s="13">
        <v>44985</v>
      </c>
      <c r="I151" s="14" t="s">
        <v>229</v>
      </c>
      <c r="J151" t="s">
        <v>21</v>
      </c>
      <c r="K151" t="s">
        <v>63</v>
      </c>
      <c r="L151" s="12" t="s">
        <v>93</v>
      </c>
    </row>
    <row r="152" spans="1:12" x14ac:dyDescent="0.35">
      <c r="A152" t="s">
        <v>228</v>
      </c>
      <c r="B152" s="10">
        <v>7223</v>
      </c>
      <c r="C152" s="10">
        <v>2433</v>
      </c>
      <c r="D152" s="10">
        <v>12</v>
      </c>
      <c r="E152" s="11" t="s">
        <v>30</v>
      </c>
      <c r="F152" s="11" t="s">
        <v>78</v>
      </c>
      <c r="G152" t="s">
        <v>47</v>
      </c>
      <c r="H152" s="13">
        <v>44985</v>
      </c>
      <c r="I152" s="14" t="s">
        <v>229</v>
      </c>
      <c r="J152" t="s">
        <v>21</v>
      </c>
      <c r="K152" t="s">
        <v>63</v>
      </c>
      <c r="L152" s="12" t="s">
        <v>93</v>
      </c>
    </row>
    <row r="153" spans="1:12" x14ac:dyDescent="0.35">
      <c r="A153" t="s">
        <v>228</v>
      </c>
      <c r="B153" s="10">
        <v>3731</v>
      </c>
      <c r="C153" s="10">
        <v>647</v>
      </c>
      <c r="D153" s="10">
        <v>1</v>
      </c>
      <c r="E153" s="11" t="s">
        <v>30</v>
      </c>
      <c r="F153" s="11" t="s">
        <v>31</v>
      </c>
      <c r="G153" t="s">
        <v>47</v>
      </c>
      <c r="H153" s="13">
        <v>44985</v>
      </c>
      <c r="I153" s="14" t="s">
        <v>229</v>
      </c>
      <c r="J153" t="s">
        <v>21</v>
      </c>
      <c r="K153" t="s">
        <v>63</v>
      </c>
      <c r="L153" s="12" t="s">
        <v>93</v>
      </c>
    </row>
    <row r="154" spans="1:12" x14ac:dyDescent="0.35">
      <c r="A154" t="s">
        <v>230</v>
      </c>
      <c r="B154" s="10">
        <v>8903</v>
      </c>
      <c r="C154" s="10">
        <v>4401</v>
      </c>
      <c r="D154" s="10">
        <v>18</v>
      </c>
      <c r="E154" s="11" t="s">
        <v>30</v>
      </c>
      <c r="F154" s="11" t="s">
        <v>31</v>
      </c>
      <c r="G154" t="s">
        <v>47</v>
      </c>
      <c r="H154" s="13">
        <v>44781</v>
      </c>
      <c r="I154" s="14" t="s">
        <v>231</v>
      </c>
      <c r="J154" t="s">
        <v>98</v>
      </c>
      <c r="K154" t="s">
        <v>99</v>
      </c>
      <c r="L154" s="12" t="s">
        <v>209</v>
      </c>
    </row>
    <row r="155" spans="1:12" x14ac:dyDescent="0.35">
      <c r="A155" t="s">
        <v>232</v>
      </c>
      <c r="B155" s="10">
        <v>6009</v>
      </c>
      <c r="C155" s="10">
        <v>2107</v>
      </c>
      <c r="D155" s="10">
        <v>7</v>
      </c>
      <c r="E155" s="11" t="s">
        <v>13</v>
      </c>
      <c r="F155" s="11" t="s">
        <v>82</v>
      </c>
      <c r="G155" t="s">
        <v>15</v>
      </c>
      <c r="H155" s="13">
        <v>44902</v>
      </c>
      <c r="I155" s="14" t="s">
        <v>233</v>
      </c>
      <c r="J155" t="s">
        <v>21</v>
      </c>
      <c r="K155" t="s">
        <v>22</v>
      </c>
      <c r="L155" s="12" t="s">
        <v>152</v>
      </c>
    </row>
    <row r="156" spans="1:12" x14ac:dyDescent="0.35">
      <c r="A156" t="s">
        <v>232</v>
      </c>
      <c r="B156" s="10">
        <v>6009</v>
      </c>
      <c r="C156" s="10">
        <v>2107</v>
      </c>
      <c r="D156" s="10">
        <v>7</v>
      </c>
      <c r="E156" s="11" t="s">
        <v>13</v>
      </c>
      <c r="F156" s="11" t="s">
        <v>82</v>
      </c>
      <c r="G156" t="s">
        <v>15</v>
      </c>
      <c r="H156" s="13">
        <v>45411</v>
      </c>
      <c r="I156" s="14" t="s">
        <v>234</v>
      </c>
      <c r="J156" t="s">
        <v>71</v>
      </c>
      <c r="K156" t="s">
        <v>86</v>
      </c>
      <c r="L156" s="12" t="s">
        <v>235</v>
      </c>
    </row>
    <row r="157" spans="1:12" x14ac:dyDescent="0.35">
      <c r="A157" t="s">
        <v>232</v>
      </c>
      <c r="B157" s="10">
        <v>2858</v>
      </c>
      <c r="C157" s="10">
        <v>230</v>
      </c>
      <c r="D157" s="10">
        <v>3</v>
      </c>
      <c r="E157" s="11" t="s">
        <v>45</v>
      </c>
      <c r="F157" s="11" t="s">
        <v>46</v>
      </c>
      <c r="G157" t="s">
        <v>47</v>
      </c>
      <c r="H157" s="13">
        <v>44902</v>
      </c>
      <c r="I157" s="14" t="s">
        <v>233</v>
      </c>
      <c r="J157" t="s">
        <v>21</v>
      </c>
      <c r="K157" t="s">
        <v>22</v>
      </c>
      <c r="L157" s="12" t="s">
        <v>152</v>
      </c>
    </row>
    <row r="158" spans="1:12" x14ac:dyDescent="0.35">
      <c r="A158" t="s">
        <v>232</v>
      </c>
      <c r="B158" s="10">
        <v>2858</v>
      </c>
      <c r="C158" s="10">
        <v>230</v>
      </c>
      <c r="D158" s="10">
        <v>3</v>
      </c>
      <c r="E158" s="11" t="s">
        <v>45</v>
      </c>
      <c r="F158" s="11" t="s">
        <v>46</v>
      </c>
      <c r="G158" t="s">
        <v>47</v>
      </c>
      <c r="H158" s="13">
        <v>45411</v>
      </c>
      <c r="I158" s="14" t="s">
        <v>234</v>
      </c>
      <c r="J158" t="s">
        <v>71</v>
      </c>
      <c r="K158" t="s">
        <v>86</v>
      </c>
      <c r="L158" s="12" t="s">
        <v>235</v>
      </c>
    </row>
    <row r="159" spans="1:12" x14ac:dyDescent="0.35">
      <c r="A159" t="s">
        <v>232</v>
      </c>
      <c r="B159" s="10">
        <v>8175</v>
      </c>
      <c r="C159" s="10">
        <v>525</v>
      </c>
      <c r="D159" s="10">
        <v>7</v>
      </c>
      <c r="E159" s="11" t="s">
        <v>45</v>
      </c>
      <c r="F159" s="11" t="s">
        <v>60</v>
      </c>
      <c r="G159" t="s">
        <v>47</v>
      </c>
      <c r="H159" s="13">
        <v>44902</v>
      </c>
      <c r="I159" s="14" t="s">
        <v>233</v>
      </c>
      <c r="J159" t="s">
        <v>21</v>
      </c>
      <c r="K159" t="s">
        <v>22</v>
      </c>
      <c r="L159" s="12" t="s">
        <v>152</v>
      </c>
    </row>
    <row r="160" spans="1:12" x14ac:dyDescent="0.35">
      <c r="A160" t="s">
        <v>232</v>
      </c>
      <c r="B160" s="10">
        <v>8175</v>
      </c>
      <c r="C160" s="10">
        <v>525</v>
      </c>
      <c r="D160" s="10">
        <v>7</v>
      </c>
      <c r="E160" s="11" t="s">
        <v>45</v>
      </c>
      <c r="F160" s="11" t="s">
        <v>60</v>
      </c>
      <c r="G160" t="s">
        <v>47</v>
      </c>
      <c r="H160" s="13">
        <v>45411</v>
      </c>
      <c r="I160" s="14" t="s">
        <v>234</v>
      </c>
      <c r="J160" t="s">
        <v>71</v>
      </c>
      <c r="K160" t="s">
        <v>86</v>
      </c>
      <c r="L160" s="12" t="s">
        <v>235</v>
      </c>
    </row>
    <row r="161" spans="1:12" x14ac:dyDescent="0.35">
      <c r="A161" t="s">
        <v>232</v>
      </c>
      <c r="B161" s="10">
        <v>5846</v>
      </c>
      <c r="C161" s="10">
        <v>586</v>
      </c>
      <c r="D161" s="10">
        <v>18</v>
      </c>
      <c r="E161" s="11" t="s">
        <v>45</v>
      </c>
      <c r="F161" s="11" t="s">
        <v>60</v>
      </c>
      <c r="G161" t="s">
        <v>15</v>
      </c>
      <c r="H161" s="13">
        <v>44902</v>
      </c>
      <c r="I161" s="14" t="s">
        <v>233</v>
      </c>
      <c r="J161" t="s">
        <v>21</v>
      </c>
      <c r="K161" t="s">
        <v>22</v>
      </c>
      <c r="L161" s="12" t="s">
        <v>152</v>
      </c>
    </row>
    <row r="162" spans="1:12" x14ac:dyDescent="0.35">
      <c r="A162" t="s">
        <v>232</v>
      </c>
      <c r="B162" s="10">
        <v>5846</v>
      </c>
      <c r="C162" s="10">
        <v>586</v>
      </c>
      <c r="D162" s="10">
        <v>18</v>
      </c>
      <c r="E162" s="11" t="s">
        <v>45</v>
      </c>
      <c r="F162" s="11" t="s">
        <v>60</v>
      </c>
      <c r="G162" t="s">
        <v>15</v>
      </c>
      <c r="H162" s="13">
        <v>45411</v>
      </c>
      <c r="I162" s="14" t="s">
        <v>234</v>
      </c>
      <c r="J162" t="s">
        <v>71</v>
      </c>
      <c r="K162" t="s">
        <v>86</v>
      </c>
      <c r="L162" s="12" t="s">
        <v>235</v>
      </c>
    </row>
    <row r="163" spans="1:12" x14ac:dyDescent="0.35">
      <c r="A163" t="s">
        <v>236</v>
      </c>
      <c r="B163" s="10">
        <v>706</v>
      </c>
      <c r="C163" s="10">
        <v>197</v>
      </c>
      <c r="D163" s="10">
        <v>11</v>
      </c>
      <c r="E163" s="11" t="s">
        <v>13</v>
      </c>
      <c r="F163" s="11" t="s">
        <v>39</v>
      </c>
      <c r="G163" t="s">
        <v>47</v>
      </c>
      <c r="H163" s="13">
        <v>44563</v>
      </c>
      <c r="I163" s="14" t="s">
        <v>237</v>
      </c>
      <c r="J163" t="s">
        <v>71</v>
      </c>
      <c r="K163" t="s">
        <v>86</v>
      </c>
      <c r="L163" s="12" t="s">
        <v>87</v>
      </c>
    </row>
    <row r="164" spans="1:12" x14ac:dyDescent="0.35">
      <c r="A164" t="s">
        <v>238</v>
      </c>
      <c r="B164" s="10">
        <v>9835</v>
      </c>
      <c r="C164" s="10">
        <v>2571</v>
      </c>
      <c r="D164" s="10">
        <v>16</v>
      </c>
      <c r="E164" s="11" t="s">
        <v>45</v>
      </c>
      <c r="F164" s="11" t="s">
        <v>46</v>
      </c>
      <c r="G164" t="s">
        <v>65</v>
      </c>
      <c r="H164" s="13">
        <v>44722</v>
      </c>
      <c r="I164" s="14" t="s">
        <v>239</v>
      </c>
      <c r="J164" t="s">
        <v>71</v>
      </c>
      <c r="K164" t="s">
        <v>72</v>
      </c>
      <c r="L164" s="12" t="s">
        <v>165</v>
      </c>
    </row>
    <row r="165" spans="1:12" x14ac:dyDescent="0.35">
      <c r="A165" t="s">
        <v>238</v>
      </c>
      <c r="B165" s="10">
        <v>9835</v>
      </c>
      <c r="C165" s="10">
        <v>2571</v>
      </c>
      <c r="D165" s="10">
        <v>16</v>
      </c>
      <c r="E165" s="11" t="s">
        <v>45</v>
      </c>
      <c r="F165" s="11" t="s">
        <v>46</v>
      </c>
      <c r="G165" t="s">
        <v>65</v>
      </c>
      <c r="H165" s="13">
        <v>44516</v>
      </c>
      <c r="I165" s="14" t="s">
        <v>240</v>
      </c>
      <c r="J165" t="s">
        <v>17</v>
      </c>
      <c r="K165" t="s">
        <v>34</v>
      </c>
      <c r="L165" s="12" t="s">
        <v>175</v>
      </c>
    </row>
    <row r="166" spans="1:12" x14ac:dyDescent="0.35">
      <c r="A166" t="s">
        <v>238</v>
      </c>
      <c r="B166" s="10">
        <v>9835</v>
      </c>
      <c r="C166" s="10">
        <v>2571</v>
      </c>
      <c r="D166" s="10">
        <v>16</v>
      </c>
      <c r="E166" s="11" t="s">
        <v>45</v>
      </c>
      <c r="F166" s="11" t="s">
        <v>46</v>
      </c>
      <c r="G166" t="s">
        <v>65</v>
      </c>
      <c r="H166" s="13">
        <v>44790</v>
      </c>
      <c r="I166" s="14" t="s">
        <v>241</v>
      </c>
      <c r="J166" t="s">
        <v>42</v>
      </c>
      <c r="K166" t="s">
        <v>43</v>
      </c>
      <c r="L166" s="12" t="s">
        <v>209</v>
      </c>
    </row>
    <row r="167" spans="1:12" x14ac:dyDescent="0.35">
      <c r="A167" t="s">
        <v>238</v>
      </c>
      <c r="B167" s="10">
        <v>9691</v>
      </c>
      <c r="C167" s="10">
        <v>3056</v>
      </c>
      <c r="D167" s="10">
        <v>13</v>
      </c>
      <c r="E167" s="11" t="s">
        <v>30</v>
      </c>
      <c r="F167" s="11" t="s">
        <v>57</v>
      </c>
      <c r="G167" t="s">
        <v>47</v>
      </c>
      <c r="H167" s="13">
        <v>44722</v>
      </c>
      <c r="I167" s="14" t="s">
        <v>239</v>
      </c>
      <c r="J167" t="s">
        <v>71</v>
      </c>
      <c r="K167" t="s">
        <v>72</v>
      </c>
      <c r="L167" s="12" t="s">
        <v>165</v>
      </c>
    </row>
    <row r="168" spans="1:12" x14ac:dyDescent="0.35">
      <c r="A168" t="s">
        <v>238</v>
      </c>
      <c r="B168" s="10">
        <v>9691</v>
      </c>
      <c r="C168" s="10">
        <v>3056</v>
      </c>
      <c r="D168" s="10">
        <v>13</v>
      </c>
      <c r="E168" s="11" t="s">
        <v>30</v>
      </c>
      <c r="F168" s="11" t="s">
        <v>57</v>
      </c>
      <c r="G168" t="s">
        <v>47</v>
      </c>
      <c r="H168" s="13">
        <v>44516</v>
      </c>
      <c r="I168" s="14" t="s">
        <v>240</v>
      </c>
      <c r="J168" t="s">
        <v>17</v>
      </c>
      <c r="K168" t="s">
        <v>34</v>
      </c>
      <c r="L168" s="12" t="s">
        <v>175</v>
      </c>
    </row>
    <row r="169" spans="1:12" x14ac:dyDescent="0.35">
      <c r="A169" t="s">
        <v>238</v>
      </c>
      <c r="B169" s="10">
        <v>9691</v>
      </c>
      <c r="C169" s="10">
        <v>3056</v>
      </c>
      <c r="D169" s="10">
        <v>13</v>
      </c>
      <c r="E169" s="11" t="s">
        <v>30</v>
      </c>
      <c r="F169" s="11" t="s">
        <v>57</v>
      </c>
      <c r="G169" t="s">
        <v>47</v>
      </c>
      <c r="H169" s="13">
        <v>44790</v>
      </c>
      <c r="I169" s="14" t="s">
        <v>241</v>
      </c>
      <c r="J169" t="s">
        <v>42</v>
      </c>
      <c r="K169" t="s">
        <v>43</v>
      </c>
      <c r="L169" s="12" t="s">
        <v>209</v>
      </c>
    </row>
    <row r="170" spans="1:12" x14ac:dyDescent="0.35">
      <c r="A170" t="s">
        <v>238</v>
      </c>
      <c r="B170" s="10">
        <v>7826</v>
      </c>
      <c r="C170" s="10">
        <v>1221</v>
      </c>
      <c r="D170" s="10">
        <v>14</v>
      </c>
      <c r="E170" s="11" t="s">
        <v>45</v>
      </c>
      <c r="F170" s="11" t="s">
        <v>109</v>
      </c>
      <c r="G170" t="s">
        <v>15</v>
      </c>
      <c r="H170" s="13">
        <v>44722</v>
      </c>
      <c r="I170" s="14" t="s">
        <v>239</v>
      </c>
      <c r="J170" t="s">
        <v>71</v>
      </c>
      <c r="K170" t="s">
        <v>72</v>
      </c>
      <c r="L170" s="12" t="s">
        <v>165</v>
      </c>
    </row>
    <row r="171" spans="1:12" x14ac:dyDescent="0.35">
      <c r="A171" t="s">
        <v>238</v>
      </c>
      <c r="B171" s="10">
        <v>7826</v>
      </c>
      <c r="C171" s="10">
        <v>1221</v>
      </c>
      <c r="D171" s="10">
        <v>14</v>
      </c>
      <c r="E171" s="11" t="s">
        <v>45</v>
      </c>
      <c r="F171" s="11" t="s">
        <v>109</v>
      </c>
      <c r="G171" t="s">
        <v>15</v>
      </c>
      <c r="H171" s="13">
        <v>44516</v>
      </c>
      <c r="I171" s="14" t="s">
        <v>240</v>
      </c>
      <c r="J171" t="s">
        <v>17</v>
      </c>
      <c r="K171" t="s">
        <v>34</v>
      </c>
      <c r="L171" s="12" t="s">
        <v>175</v>
      </c>
    </row>
    <row r="172" spans="1:12" x14ac:dyDescent="0.35">
      <c r="A172" t="s">
        <v>238</v>
      </c>
      <c r="B172" s="10">
        <v>7826</v>
      </c>
      <c r="C172" s="10">
        <v>1221</v>
      </c>
      <c r="D172" s="10">
        <v>14</v>
      </c>
      <c r="E172" s="11" t="s">
        <v>45</v>
      </c>
      <c r="F172" s="11" t="s">
        <v>109</v>
      </c>
      <c r="G172" t="s">
        <v>15</v>
      </c>
      <c r="H172" s="13">
        <v>44790</v>
      </c>
      <c r="I172" s="14" t="s">
        <v>241</v>
      </c>
      <c r="J172" t="s">
        <v>42</v>
      </c>
      <c r="K172" t="s">
        <v>43</v>
      </c>
      <c r="L172" s="12" t="s">
        <v>209</v>
      </c>
    </row>
    <row r="173" spans="1:12" x14ac:dyDescent="0.35">
      <c r="A173" t="s">
        <v>242</v>
      </c>
      <c r="B173" s="10">
        <v>770</v>
      </c>
      <c r="C173" s="10">
        <v>241</v>
      </c>
      <c r="D173" s="10">
        <v>11</v>
      </c>
      <c r="E173" s="11" t="s">
        <v>45</v>
      </c>
      <c r="F173" s="11" t="s">
        <v>60</v>
      </c>
      <c r="G173" t="s">
        <v>65</v>
      </c>
      <c r="H173" s="13">
        <v>44523</v>
      </c>
      <c r="I173" s="14" t="s">
        <v>243</v>
      </c>
      <c r="J173" t="s">
        <v>71</v>
      </c>
      <c r="K173" t="s">
        <v>86</v>
      </c>
      <c r="L173" s="12" t="s">
        <v>175</v>
      </c>
    </row>
    <row r="174" spans="1:12" x14ac:dyDescent="0.35">
      <c r="A174" t="s">
        <v>242</v>
      </c>
      <c r="B174" s="10">
        <v>770</v>
      </c>
      <c r="C174" s="10">
        <v>241</v>
      </c>
      <c r="D174" s="10">
        <v>11</v>
      </c>
      <c r="E174" s="11" t="s">
        <v>45</v>
      </c>
      <c r="F174" s="11" t="s">
        <v>60</v>
      </c>
      <c r="G174" t="s">
        <v>65</v>
      </c>
      <c r="H174" s="13">
        <v>44989</v>
      </c>
      <c r="I174" s="14" t="s">
        <v>244</v>
      </c>
      <c r="J174" t="s">
        <v>98</v>
      </c>
      <c r="K174" t="s">
        <v>107</v>
      </c>
      <c r="L174" s="12" t="s">
        <v>245</v>
      </c>
    </row>
    <row r="175" spans="1:12" x14ac:dyDescent="0.35">
      <c r="A175" t="s">
        <v>246</v>
      </c>
      <c r="B175" s="10">
        <v>9895</v>
      </c>
      <c r="C175" s="10">
        <v>1598</v>
      </c>
      <c r="D175" s="10">
        <v>20</v>
      </c>
      <c r="E175" s="11" t="s">
        <v>45</v>
      </c>
      <c r="F175" s="11" t="s">
        <v>109</v>
      </c>
      <c r="G175" t="s">
        <v>65</v>
      </c>
      <c r="H175" s="13">
        <v>45276</v>
      </c>
      <c r="I175" s="14" t="s">
        <v>247</v>
      </c>
      <c r="J175" t="s">
        <v>25</v>
      </c>
      <c r="K175" t="s">
        <v>68</v>
      </c>
      <c r="L175" s="12" t="s">
        <v>102</v>
      </c>
    </row>
    <row r="176" spans="1:12" x14ac:dyDescent="0.35">
      <c r="A176" t="s">
        <v>248</v>
      </c>
      <c r="B176" s="10">
        <v>6517</v>
      </c>
      <c r="C176" s="10">
        <v>1581</v>
      </c>
      <c r="D176" s="10">
        <v>10</v>
      </c>
      <c r="E176" s="11" t="s">
        <v>30</v>
      </c>
      <c r="F176" s="11" t="s">
        <v>64</v>
      </c>
      <c r="G176" t="s">
        <v>32</v>
      </c>
      <c r="H176" s="13">
        <v>45431</v>
      </c>
      <c r="I176" s="14" t="s">
        <v>249</v>
      </c>
      <c r="J176" t="s">
        <v>17</v>
      </c>
      <c r="K176" t="s">
        <v>18</v>
      </c>
      <c r="L176" s="12" t="s">
        <v>35</v>
      </c>
    </row>
    <row r="177" spans="1:12" x14ac:dyDescent="0.35">
      <c r="A177" t="s">
        <v>248</v>
      </c>
      <c r="B177" s="10">
        <v>6517</v>
      </c>
      <c r="C177" s="10">
        <v>1581</v>
      </c>
      <c r="D177" s="10">
        <v>10</v>
      </c>
      <c r="E177" s="11" t="s">
        <v>30</v>
      </c>
      <c r="F177" s="11" t="s">
        <v>64</v>
      </c>
      <c r="G177" t="s">
        <v>32</v>
      </c>
      <c r="H177" s="13">
        <v>43965</v>
      </c>
      <c r="I177" s="14" t="s">
        <v>250</v>
      </c>
      <c r="J177" t="s">
        <v>17</v>
      </c>
      <c r="K177" t="s">
        <v>150</v>
      </c>
      <c r="L177" s="12" t="s">
        <v>59</v>
      </c>
    </row>
    <row r="178" spans="1:12" x14ac:dyDescent="0.35">
      <c r="A178" t="s">
        <v>248</v>
      </c>
      <c r="B178" s="10">
        <v>1166</v>
      </c>
      <c r="C178" s="10">
        <v>349</v>
      </c>
      <c r="D178" s="10">
        <v>11</v>
      </c>
      <c r="E178" s="11" t="s">
        <v>45</v>
      </c>
      <c r="F178" s="11" t="s">
        <v>46</v>
      </c>
      <c r="G178" t="s">
        <v>47</v>
      </c>
      <c r="H178" s="13">
        <v>45431</v>
      </c>
      <c r="I178" s="14" t="s">
        <v>249</v>
      </c>
      <c r="J178" t="s">
        <v>17</v>
      </c>
      <c r="K178" t="s">
        <v>18</v>
      </c>
      <c r="L178" s="12" t="s">
        <v>35</v>
      </c>
    </row>
    <row r="179" spans="1:12" x14ac:dyDescent="0.35">
      <c r="A179" t="s">
        <v>248</v>
      </c>
      <c r="B179" s="10">
        <v>1166</v>
      </c>
      <c r="C179" s="10">
        <v>349</v>
      </c>
      <c r="D179" s="10">
        <v>11</v>
      </c>
      <c r="E179" s="11" t="s">
        <v>45</v>
      </c>
      <c r="F179" s="11" t="s">
        <v>46</v>
      </c>
      <c r="G179" t="s">
        <v>47</v>
      </c>
      <c r="H179" s="13">
        <v>43965</v>
      </c>
      <c r="I179" s="14" t="s">
        <v>250</v>
      </c>
      <c r="J179" t="s">
        <v>17</v>
      </c>
      <c r="K179" t="s">
        <v>150</v>
      </c>
      <c r="L179" s="12" t="s">
        <v>59</v>
      </c>
    </row>
    <row r="180" spans="1:12" x14ac:dyDescent="0.35">
      <c r="A180" t="s">
        <v>251</v>
      </c>
      <c r="B180" s="10">
        <v>9820</v>
      </c>
      <c r="C180" s="10">
        <v>793</v>
      </c>
      <c r="D180" s="10">
        <v>16</v>
      </c>
      <c r="E180" s="11" t="s">
        <v>45</v>
      </c>
      <c r="F180" s="11" t="s">
        <v>49</v>
      </c>
      <c r="G180" t="s">
        <v>47</v>
      </c>
      <c r="H180" s="13">
        <v>44437</v>
      </c>
      <c r="I180" s="14" t="s">
        <v>252</v>
      </c>
      <c r="J180" t="s">
        <v>25</v>
      </c>
      <c r="K180" t="s">
        <v>26</v>
      </c>
      <c r="L180" s="12" t="s">
        <v>178</v>
      </c>
    </row>
    <row r="181" spans="1:12" x14ac:dyDescent="0.35">
      <c r="A181" t="s">
        <v>253</v>
      </c>
      <c r="B181" s="10">
        <v>8563</v>
      </c>
      <c r="C181" s="10">
        <v>2624</v>
      </c>
      <c r="D181" s="10">
        <v>8</v>
      </c>
      <c r="E181" s="11" t="s">
        <v>30</v>
      </c>
      <c r="F181" s="11" t="s">
        <v>78</v>
      </c>
      <c r="G181" t="s">
        <v>65</v>
      </c>
      <c r="H181" s="13">
        <v>45606</v>
      </c>
      <c r="I181" s="14" t="s">
        <v>254</v>
      </c>
      <c r="J181" t="s">
        <v>71</v>
      </c>
      <c r="K181" t="s">
        <v>72</v>
      </c>
      <c r="L181" s="12" t="s">
        <v>255</v>
      </c>
    </row>
    <row r="182" spans="1:12" x14ac:dyDescent="0.35">
      <c r="A182" t="s">
        <v>253</v>
      </c>
      <c r="B182" s="10">
        <v>4441</v>
      </c>
      <c r="C182" s="10">
        <v>281</v>
      </c>
      <c r="D182" s="10">
        <v>20</v>
      </c>
      <c r="E182" s="11" t="s">
        <v>13</v>
      </c>
      <c r="F182" s="11" t="s">
        <v>28</v>
      </c>
      <c r="G182" t="s">
        <v>65</v>
      </c>
      <c r="H182" s="13">
        <v>45606</v>
      </c>
      <c r="I182" s="14" t="s">
        <v>254</v>
      </c>
      <c r="J182" t="s">
        <v>71</v>
      </c>
      <c r="K182" t="s">
        <v>72</v>
      </c>
      <c r="L182" s="12" t="s">
        <v>255</v>
      </c>
    </row>
    <row r="183" spans="1:12" x14ac:dyDescent="0.35">
      <c r="A183" t="s">
        <v>256</v>
      </c>
      <c r="B183" s="10">
        <v>7340</v>
      </c>
      <c r="C183" s="10">
        <v>2271</v>
      </c>
      <c r="D183" s="10">
        <v>8</v>
      </c>
      <c r="E183" s="11" t="s">
        <v>30</v>
      </c>
      <c r="F183" s="11" t="s">
        <v>64</v>
      </c>
      <c r="G183" t="s">
        <v>40</v>
      </c>
      <c r="H183" s="13">
        <v>44535</v>
      </c>
      <c r="I183" s="14" t="s">
        <v>257</v>
      </c>
      <c r="J183" t="s">
        <v>17</v>
      </c>
      <c r="K183" t="s">
        <v>34</v>
      </c>
      <c r="L183" s="12" t="s">
        <v>90</v>
      </c>
    </row>
    <row r="184" spans="1:12" x14ac:dyDescent="0.35">
      <c r="A184" t="s">
        <v>256</v>
      </c>
      <c r="B184" s="10">
        <v>5442</v>
      </c>
      <c r="C184" s="10">
        <v>1610</v>
      </c>
      <c r="D184" s="10">
        <v>1</v>
      </c>
      <c r="E184" s="11" t="s">
        <v>13</v>
      </c>
      <c r="F184" s="11" t="s">
        <v>82</v>
      </c>
      <c r="G184" t="s">
        <v>40</v>
      </c>
      <c r="H184" s="13">
        <v>44535</v>
      </c>
      <c r="I184" s="14" t="s">
        <v>257</v>
      </c>
      <c r="J184" t="s">
        <v>17</v>
      </c>
      <c r="K184" t="s">
        <v>34</v>
      </c>
      <c r="L184" s="12" t="s">
        <v>90</v>
      </c>
    </row>
    <row r="185" spans="1:12" x14ac:dyDescent="0.35">
      <c r="A185" t="s">
        <v>258</v>
      </c>
      <c r="B185" s="10">
        <v>1895</v>
      </c>
      <c r="C185" s="10">
        <v>391</v>
      </c>
      <c r="D185" s="10">
        <v>14</v>
      </c>
      <c r="E185" s="11" t="s">
        <v>45</v>
      </c>
      <c r="F185" s="11" t="s">
        <v>46</v>
      </c>
      <c r="G185" t="s">
        <v>15</v>
      </c>
      <c r="H185" s="13">
        <v>45478</v>
      </c>
      <c r="I185" s="14" t="s">
        <v>259</v>
      </c>
      <c r="J185" t="s">
        <v>17</v>
      </c>
      <c r="K185" t="s">
        <v>150</v>
      </c>
      <c r="L185" s="12" t="s">
        <v>215</v>
      </c>
    </row>
    <row r="186" spans="1:12" x14ac:dyDescent="0.35">
      <c r="A186" t="s">
        <v>258</v>
      </c>
      <c r="B186" s="10">
        <v>5323</v>
      </c>
      <c r="C186" s="10">
        <v>322</v>
      </c>
      <c r="D186" s="10">
        <v>13</v>
      </c>
      <c r="E186" s="11" t="s">
        <v>30</v>
      </c>
      <c r="F186" s="11" t="s">
        <v>78</v>
      </c>
      <c r="G186" t="s">
        <v>65</v>
      </c>
      <c r="H186" s="13">
        <v>45478</v>
      </c>
      <c r="I186" s="14" t="s">
        <v>259</v>
      </c>
      <c r="J186" t="s">
        <v>17</v>
      </c>
      <c r="K186" t="s">
        <v>150</v>
      </c>
      <c r="L186" s="12" t="s">
        <v>215</v>
      </c>
    </row>
    <row r="187" spans="1:12" x14ac:dyDescent="0.35">
      <c r="A187" t="s">
        <v>260</v>
      </c>
      <c r="B187" s="10">
        <v>8850</v>
      </c>
      <c r="C187" s="10">
        <v>279</v>
      </c>
      <c r="D187" s="10">
        <v>13</v>
      </c>
      <c r="E187" s="11" t="s">
        <v>30</v>
      </c>
      <c r="F187" s="11" t="s">
        <v>57</v>
      </c>
      <c r="G187" t="s">
        <v>32</v>
      </c>
      <c r="H187" s="13">
        <v>45468</v>
      </c>
      <c r="I187" s="14" t="s">
        <v>261</v>
      </c>
      <c r="J187" t="s">
        <v>17</v>
      </c>
      <c r="K187" t="s">
        <v>18</v>
      </c>
      <c r="L187" s="12" t="s">
        <v>262</v>
      </c>
    </row>
    <row r="188" spans="1:12" x14ac:dyDescent="0.35">
      <c r="A188" t="s">
        <v>260</v>
      </c>
      <c r="B188" s="10">
        <v>8667</v>
      </c>
      <c r="C188" s="10">
        <v>1266</v>
      </c>
      <c r="D188" s="10">
        <v>6</v>
      </c>
      <c r="E188" s="11" t="s">
        <v>30</v>
      </c>
      <c r="F188" s="11" t="s">
        <v>64</v>
      </c>
      <c r="G188" t="s">
        <v>32</v>
      </c>
      <c r="H188" s="13">
        <v>45468</v>
      </c>
      <c r="I188" s="14" t="s">
        <v>261</v>
      </c>
      <c r="J188" t="s">
        <v>17</v>
      </c>
      <c r="K188" t="s">
        <v>18</v>
      </c>
      <c r="L188" s="12" t="s">
        <v>262</v>
      </c>
    </row>
    <row r="189" spans="1:12" x14ac:dyDescent="0.35">
      <c r="A189" t="s">
        <v>263</v>
      </c>
      <c r="B189" s="10">
        <v>6903</v>
      </c>
      <c r="C189" s="10">
        <v>105</v>
      </c>
      <c r="D189" s="10">
        <v>1</v>
      </c>
      <c r="E189" s="11" t="s">
        <v>45</v>
      </c>
      <c r="F189" s="11" t="s">
        <v>46</v>
      </c>
      <c r="G189" t="s">
        <v>65</v>
      </c>
      <c r="H189" s="13">
        <v>45443</v>
      </c>
      <c r="I189" s="14" t="s">
        <v>264</v>
      </c>
      <c r="J189" t="s">
        <v>21</v>
      </c>
      <c r="K189" t="s">
        <v>22</v>
      </c>
      <c r="L189" s="12" t="s">
        <v>35</v>
      </c>
    </row>
    <row r="190" spans="1:12" x14ac:dyDescent="0.35">
      <c r="A190" t="s">
        <v>263</v>
      </c>
      <c r="B190" s="10">
        <v>8793</v>
      </c>
      <c r="C190" s="10">
        <v>3010</v>
      </c>
      <c r="D190" s="10">
        <v>7</v>
      </c>
      <c r="E190" s="11" t="s">
        <v>30</v>
      </c>
      <c r="F190" s="11" t="s">
        <v>31</v>
      </c>
      <c r="G190" t="s">
        <v>65</v>
      </c>
      <c r="H190" s="13">
        <v>45443</v>
      </c>
      <c r="I190" s="14" t="s">
        <v>264</v>
      </c>
      <c r="J190" t="s">
        <v>21</v>
      </c>
      <c r="K190" t="s">
        <v>22</v>
      </c>
      <c r="L190" s="12" t="s">
        <v>35</v>
      </c>
    </row>
    <row r="191" spans="1:12" x14ac:dyDescent="0.35">
      <c r="A191" t="s">
        <v>265</v>
      </c>
      <c r="B191" s="10">
        <v>9883</v>
      </c>
      <c r="C191" s="10">
        <v>4812</v>
      </c>
      <c r="D191" s="10">
        <v>16</v>
      </c>
      <c r="E191" s="11" t="s">
        <v>30</v>
      </c>
      <c r="F191" s="11" t="s">
        <v>64</v>
      </c>
      <c r="G191" t="s">
        <v>15</v>
      </c>
      <c r="H191" s="13">
        <v>44124</v>
      </c>
      <c r="I191" s="14" t="s">
        <v>266</v>
      </c>
      <c r="J191" t="s">
        <v>25</v>
      </c>
      <c r="K191" t="s">
        <v>26</v>
      </c>
      <c r="L191" s="12" t="s">
        <v>119</v>
      </c>
    </row>
    <row r="192" spans="1:12" x14ac:dyDescent="0.35">
      <c r="A192" t="s">
        <v>265</v>
      </c>
      <c r="B192" s="10">
        <v>9883</v>
      </c>
      <c r="C192" s="10">
        <v>4812</v>
      </c>
      <c r="D192" s="10">
        <v>16</v>
      </c>
      <c r="E192" s="11" t="s">
        <v>30</v>
      </c>
      <c r="F192" s="11" t="s">
        <v>64</v>
      </c>
      <c r="G192" t="s">
        <v>15</v>
      </c>
      <c r="H192" s="13">
        <v>44784</v>
      </c>
      <c r="I192" s="14" t="s">
        <v>267</v>
      </c>
      <c r="J192" t="s">
        <v>17</v>
      </c>
      <c r="K192" t="s">
        <v>34</v>
      </c>
      <c r="L192" s="12" t="s">
        <v>209</v>
      </c>
    </row>
    <row r="193" spans="1:12" x14ac:dyDescent="0.35">
      <c r="A193" t="s">
        <v>265</v>
      </c>
      <c r="B193" s="10">
        <v>9883</v>
      </c>
      <c r="C193" s="10">
        <v>4812</v>
      </c>
      <c r="D193" s="10">
        <v>16</v>
      </c>
      <c r="E193" s="11" t="s">
        <v>30</v>
      </c>
      <c r="F193" s="11" t="s">
        <v>64</v>
      </c>
      <c r="G193" t="s">
        <v>15</v>
      </c>
      <c r="H193" s="13">
        <v>44486</v>
      </c>
      <c r="I193" s="14" t="s">
        <v>268</v>
      </c>
      <c r="J193" t="s">
        <v>21</v>
      </c>
      <c r="K193" t="s">
        <v>63</v>
      </c>
      <c r="L193" s="12" t="s">
        <v>37</v>
      </c>
    </row>
    <row r="194" spans="1:12" x14ac:dyDescent="0.35">
      <c r="A194" t="s">
        <v>265</v>
      </c>
      <c r="B194" s="10">
        <v>5210</v>
      </c>
      <c r="C194" s="10">
        <v>1185</v>
      </c>
      <c r="D194" s="10">
        <v>7</v>
      </c>
      <c r="E194" s="11" t="s">
        <v>30</v>
      </c>
      <c r="F194" s="11" t="s">
        <v>64</v>
      </c>
      <c r="G194" t="s">
        <v>15</v>
      </c>
      <c r="H194" s="13">
        <v>44124</v>
      </c>
      <c r="I194" s="14" t="s">
        <v>266</v>
      </c>
      <c r="J194" t="s">
        <v>25</v>
      </c>
      <c r="K194" t="s">
        <v>26</v>
      </c>
      <c r="L194" s="12" t="s">
        <v>119</v>
      </c>
    </row>
    <row r="195" spans="1:12" x14ac:dyDescent="0.35">
      <c r="A195" t="s">
        <v>265</v>
      </c>
      <c r="B195" s="10">
        <v>5210</v>
      </c>
      <c r="C195" s="10">
        <v>1185</v>
      </c>
      <c r="D195" s="10">
        <v>7</v>
      </c>
      <c r="E195" s="11" t="s">
        <v>30</v>
      </c>
      <c r="F195" s="11" t="s">
        <v>64</v>
      </c>
      <c r="G195" t="s">
        <v>15</v>
      </c>
      <c r="H195" s="13">
        <v>44784</v>
      </c>
      <c r="I195" s="14" t="s">
        <v>267</v>
      </c>
      <c r="J195" t="s">
        <v>17</v>
      </c>
      <c r="K195" t="s">
        <v>34</v>
      </c>
      <c r="L195" s="12" t="s">
        <v>209</v>
      </c>
    </row>
    <row r="196" spans="1:12" x14ac:dyDescent="0.35">
      <c r="A196" t="s">
        <v>265</v>
      </c>
      <c r="B196" s="10">
        <v>5210</v>
      </c>
      <c r="C196" s="10">
        <v>1185</v>
      </c>
      <c r="D196" s="10">
        <v>7</v>
      </c>
      <c r="E196" s="11" t="s">
        <v>30</v>
      </c>
      <c r="F196" s="11" t="s">
        <v>64</v>
      </c>
      <c r="G196" t="s">
        <v>15</v>
      </c>
      <c r="H196" s="13">
        <v>44486</v>
      </c>
      <c r="I196" s="14" t="s">
        <v>268</v>
      </c>
      <c r="J196" t="s">
        <v>21</v>
      </c>
      <c r="K196" t="s">
        <v>63</v>
      </c>
      <c r="L196" s="12" t="s">
        <v>37</v>
      </c>
    </row>
    <row r="197" spans="1:12" x14ac:dyDescent="0.35">
      <c r="A197" t="s">
        <v>269</v>
      </c>
      <c r="B197" s="10">
        <v>3574</v>
      </c>
      <c r="C197" s="10">
        <v>851</v>
      </c>
      <c r="D197" s="10">
        <v>4</v>
      </c>
      <c r="E197" s="11" t="s">
        <v>13</v>
      </c>
      <c r="F197" s="11" t="s">
        <v>28</v>
      </c>
      <c r="G197" t="s">
        <v>47</v>
      </c>
      <c r="H197" s="13">
        <v>44615</v>
      </c>
      <c r="I197" s="14" t="s">
        <v>270</v>
      </c>
      <c r="J197" t="s">
        <v>42</v>
      </c>
      <c r="K197" t="s">
        <v>43</v>
      </c>
      <c r="L197" s="12" t="s">
        <v>137</v>
      </c>
    </row>
    <row r="198" spans="1:12" x14ac:dyDescent="0.35">
      <c r="A198" t="s">
        <v>269</v>
      </c>
      <c r="B198" s="10">
        <v>576</v>
      </c>
      <c r="C198" s="10">
        <v>76</v>
      </c>
      <c r="D198" s="10">
        <v>13</v>
      </c>
      <c r="E198" s="11" t="s">
        <v>45</v>
      </c>
      <c r="F198" s="11" t="s">
        <v>60</v>
      </c>
      <c r="G198" t="s">
        <v>15</v>
      </c>
      <c r="H198" s="13">
        <v>44615</v>
      </c>
      <c r="I198" s="14" t="s">
        <v>270</v>
      </c>
      <c r="J198" t="s">
        <v>42</v>
      </c>
      <c r="K198" t="s">
        <v>43</v>
      </c>
      <c r="L198" s="12" t="s">
        <v>137</v>
      </c>
    </row>
    <row r="199" spans="1:12" x14ac:dyDescent="0.35">
      <c r="A199" t="s">
        <v>271</v>
      </c>
      <c r="B199" s="10">
        <v>1860</v>
      </c>
      <c r="C199" s="10">
        <v>457</v>
      </c>
      <c r="D199" s="10">
        <v>13</v>
      </c>
      <c r="E199" s="11" t="s">
        <v>13</v>
      </c>
      <c r="F199" s="11" t="s">
        <v>28</v>
      </c>
      <c r="G199" t="s">
        <v>40</v>
      </c>
      <c r="H199" s="13">
        <v>45189</v>
      </c>
      <c r="I199" s="14" t="s">
        <v>272</v>
      </c>
      <c r="J199" t="s">
        <v>98</v>
      </c>
      <c r="K199" t="s">
        <v>117</v>
      </c>
      <c r="L199" s="12" t="s">
        <v>273</v>
      </c>
    </row>
    <row r="200" spans="1:12" x14ac:dyDescent="0.35">
      <c r="A200" t="s">
        <v>274</v>
      </c>
      <c r="B200" s="10">
        <v>782</v>
      </c>
      <c r="C200" s="10">
        <v>374</v>
      </c>
      <c r="D200" s="10">
        <v>8</v>
      </c>
      <c r="E200" s="11" t="s">
        <v>30</v>
      </c>
      <c r="F200" s="11" t="s">
        <v>31</v>
      </c>
      <c r="G200" t="s">
        <v>40</v>
      </c>
      <c r="H200" s="13">
        <v>44215</v>
      </c>
      <c r="I200" s="14" t="s">
        <v>275</v>
      </c>
      <c r="J200" t="s">
        <v>21</v>
      </c>
      <c r="K200" t="s">
        <v>172</v>
      </c>
      <c r="L200" s="12" t="s">
        <v>276</v>
      </c>
    </row>
    <row r="201" spans="1:12" x14ac:dyDescent="0.35">
      <c r="A201" t="s">
        <v>274</v>
      </c>
      <c r="B201" s="10">
        <v>4371</v>
      </c>
      <c r="C201" s="10">
        <v>1852</v>
      </c>
      <c r="D201" s="10">
        <v>1</v>
      </c>
      <c r="E201" s="11" t="s">
        <v>13</v>
      </c>
      <c r="F201" s="11" t="s">
        <v>39</v>
      </c>
      <c r="G201" t="s">
        <v>15</v>
      </c>
      <c r="H201" s="13">
        <v>44215</v>
      </c>
      <c r="I201" s="14" t="s">
        <v>275</v>
      </c>
      <c r="J201" t="s">
        <v>21</v>
      </c>
      <c r="K201" t="s">
        <v>172</v>
      </c>
      <c r="L201" s="12" t="s">
        <v>276</v>
      </c>
    </row>
    <row r="202" spans="1:12" x14ac:dyDescent="0.35">
      <c r="A202" t="s">
        <v>277</v>
      </c>
      <c r="B202" s="10">
        <v>8346</v>
      </c>
      <c r="C202" s="10">
        <v>1176</v>
      </c>
      <c r="D202" s="10">
        <v>1</v>
      </c>
      <c r="E202" s="11" t="s">
        <v>13</v>
      </c>
      <c r="F202" s="11" t="s">
        <v>82</v>
      </c>
      <c r="G202" t="s">
        <v>65</v>
      </c>
      <c r="H202" s="13">
        <v>44064</v>
      </c>
      <c r="I202" s="14" t="s">
        <v>278</v>
      </c>
      <c r="J202" t="s">
        <v>71</v>
      </c>
      <c r="K202" t="s">
        <v>138</v>
      </c>
      <c r="L202" s="12" t="s">
        <v>185</v>
      </c>
    </row>
    <row r="203" spans="1:12" x14ac:dyDescent="0.35">
      <c r="A203" t="s">
        <v>277</v>
      </c>
      <c r="B203" s="10">
        <v>8346</v>
      </c>
      <c r="C203" s="10">
        <v>1176</v>
      </c>
      <c r="D203" s="10">
        <v>1</v>
      </c>
      <c r="E203" s="11" t="s">
        <v>13</v>
      </c>
      <c r="F203" s="11" t="s">
        <v>82</v>
      </c>
      <c r="G203" t="s">
        <v>65</v>
      </c>
      <c r="H203" s="13">
        <v>45033</v>
      </c>
      <c r="I203" s="14" t="s">
        <v>279</v>
      </c>
      <c r="J203" t="s">
        <v>21</v>
      </c>
      <c r="K203" t="s">
        <v>22</v>
      </c>
      <c r="L203" s="12" t="s">
        <v>145</v>
      </c>
    </row>
    <row r="204" spans="1:12" x14ac:dyDescent="0.35">
      <c r="A204" t="s">
        <v>277</v>
      </c>
      <c r="B204" s="10">
        <v>8346</v>
      </c>
      <c r="C204" s="10">
        <v>1176</v>
      </c>
      <c r="D204" s="10">
        <v>1</v>
      </c>
      <c r="E204" s="11" t="s">
        <v>13</v>
      </c>
      <c r="F204" s="11" t="s">
        <v>82</v>
      </c>
      <c r="G204" t="s">
        <v>65</v>
      </c>
      <c r="H204" s="13">
        <v>45284</v>
      </c>
      <c r="I204" s="14" t="s">
        <v>280</v>
      </c>
      <c r="J204" t="s">
        <v>42</v>
      </c>
      <c r="K204" t="s">
        <v>92</v>
      </c>
      <c r="L204" s="12" t="s">
        <v>102</v>
      </c>
    </row>
    <row r="205" spans="1:12" x14ac:dyDescent="0.35">
      <c r="A205" t="s">
        <v>277</v>
      </c>
      <c r="B205" s="10">
        <v>6218</v>
      </c>
      <c r="C205" s="10">
        <v>1125</v>
      </c>
      <c r="D205" s="10">
        <v>5</v>
      </c>
      <c r="E205" s="11" t="s">
        <v>45</v>
      </c>
      <c r="F205" s="11" t="s">
        <v>46</v>
      </c>
      <c r="G205" t="s">
        <v>32</v>
      </c>
      <c r="H205" s="13">
        <v>44064</v>
      </c>
      <c r="I205" s="14" t="s">
        <v>278</v>
      </c>
      <c r="J205" t="s">
        <v>71</v>
      </c>
      <c r="K205" t="s">
        <v>138</v>
      </c>
      <c r="L205" s="12" t="s">
        <v>185</v>
      </c>
    </row>
    <row r="206" spans="1:12" x14ac:dyDescent="0.35">
      <c r="A206" t="s">
        <v>277</v>
      </c>
      <c r="B206" s="10">
        <v>6218</v>
      </c>
      <c r="C206" s="10">
        <v>1125</v>
      </c>
      <c r="D206" s="10">
        <v>5</v>
      </c>
      <c r="E206" s="11" t="s">
        <v>45</v>
      </c>
      <c r="F206" s="11" t="s">
        <v>46</v>
      </c>
      <c r="G206" t="s">
        <v>32</v>
      </c>
      <c r="H206" s="13">
        <v>45033</v>
      </c>
      <c r="I206" s="14" t="s">
        <v>279</v>
      </c>
      <c r="J206" t="s">
        <v>21</v>
      </c>
      <c r="K206" t="s">
        <v>22</v>
      </c>
      <c r="L206" s="12" t="s">
        <v>145</v>
      </c>
    </row>
    <row r="207" spans="1:12" x14ac:dyDescent="0.35">
      <c r="A207" t="s">
        <v>277</v>
      </c>
      <c r="B207" s="10">
        <v>6218</v>
      </c>
      <c r="C207" s="10">
        <v>1125</v>
      </c>
      <c r="D207" s="10">
        <v>5</v>
      </c>
      <c r="E207" s="11" t="s">
        <v>45</v>
      </c>
      <c r="F207" s="11" t="s">
        <v>46</v>
      </c>
      <c r="G207" t="s">
        <v>32</v>
      </c>
      <c r="H207" s="13">
        <v>45284</v>
      </c>
      <c r="I207" s="14" t="s">
        <v>280</v>
      </c>
      <c r="J207" t="s">
        <v>42</v>
      </c>
      <c r="K207" t="s">
        <v>92</v>
      </c>
      <c r="L207" s="12" t="s">
        <v>102</v>
      </c>
    </row>
    <row r="208" spans="1:12" x14ac:dyDescent="0.35">
      <c r="A208" t="s">
        <v>277</v>
      </c>
      <c r="B208" s="10">
        <v>5167</v>
      </c>
      <c r="C208" s="10">
        <v>253</v>
      </c>
      <c r="D208" s="10">
        <v>14</v>
      </c>
      <c r="E208" s="11" t="s">
        <v>13</v>
      </c>
      <c r="F208" s="11" t="s">
        <v>28</v>
      </c>
      <c r="G208" t="s">
        <v>47</v>
      </c>
      <c r="H208" s="13">
        <v>44064</v>
      </c>
      <c r="I208" s="14" t="s">
        <v>278</v>
      </c>
      <c r="J208" t="s">
        <v>71</v>
      </c>
      <c r="K208" t="s">
        <v>138</v>
      </c>
      <c r="L208" s="12" t="s">
        <v>185</v>
      </c>
    </row>
    <row r="209" spans="1:12" x14ac:dyDescent="0.35">
      <c r="A209" t="s">
        <v>277</v>
      </c>
      <c r="B209" s="10">
        <v>5167</v>
      </c>
      <c r="C209" s="10">
        <v>253</v>
      </c>
      <c r="D209" s="10">
        <v>14</v>
      </c>
      <c r="E209" s="11" t="s">
        <v>13</v>
      </c>
      <c r="F209" s="11" t="s">
        <v>28</v>
      </c>
      <c r="G209" t="s">
        <v>47</v>
      </c>
      <c r="H209" s="13">
        <v>45033</v>
      </c>
      <c r="I209" s="14" t="s">
        <v>279</v>
      </c>
      <c r="J209" t="s">
        <v>21</v>
      </c>
      <c r="K209" t="s">
        <v>22</v>
      </c>
      <c r="L209" s="12" t="s">
        <v>145</v>
      </c>
    </row>
    <row r="210" spans="1:12" x14ac:dyDescent="0.35">
      <c r="A210" t="s">
        <v>277</v>
      </c>
      <c r="B210" s="10">
        <v>5167</v>
      </c>
      <c r="C210" s="10">
        <v>253</v>
      </c>
      <c r="D210" s="10">
        <v>14</v>
      </c>
      <c r="E210" s="11" t="s">
        <v>13</v>
      </c>
      <c r="F210" s="11" t="s">
        <v>28</v>
      </c>
      <c r="G210" t="s">
        <v>47</v>
      </c>
      <c r="H210" s="13">
        <v>45284</v>
      </c>
      <c r="I210" s="14" t="s">
        <v>280</v>
      </c>
      <c r="J210" t="s">
        <v>42</v>
      </c>
      <c r="K210" t="s">
        <v>92</v>
      </c>
      <c r="L210" s="12" t="s">
        <v>102</v>
      </c>
    </row>
    <row r="211" spans="1:12" x14ac:dyDescent="0.35">
      <c r="A211" t="s">
        <v>277</v>
      </c>
      <c r="B211" s="10">
        <v>2799</v>
      </c>
      <c r="C211" s="10">
        <v>1239</v>
      </c>
      <c r="D211" s="10">
        <v>5</v>
      </c>
      <c r="E211" s="11" t="s">
        <v>45</v>
      </c>
      <c r="F211" s="11" t="s">
        <v>60</v>
      </c>
      <c r="G211" t="s">
        <v>32</v>
      </c>
      <c r="H211" s="13">
        <v>44064</v>
      </c>
      <c r="I211" s="14" t="s">
        <v>278</v>
      </c>
      <c r="J211" t="s">
        <v>71</v>
      </c>
      <c r="K211" t="s">
        <v>138</v>
      </c>
      <c r="L211" s="12" t="s">
        <v>185</v>
      </c>
    </row>
    <row r="212" spans="1:12" x14ac:dyDescent="0.35">
      <c r="A212" t="s">
        <v>277</v>
      </c>
      <c r="B212" s="10">
        <v>2799</v>
      </c>
      <c r="C212" s="10">
        <v>1239</v>
      </c>
      <c r="D212" s="10">
        <v>5</v>
      </c>
      <c r="E212" s="11" t="s">
        <v>45</v>
      </c>
      <c r="F212" s="11" t="s">
        <v>60</v>
      </c>
      <c r="G212" t="s">
        <v>32</v>
      </c>
      <c r="H212" s="13">
        <v>45033</v>
      </c>
      <c r="I212" s="14" t="s">
        <v>279</v>
      </c>
      <c r="J212" t="s">
        <v>21</v>
      </c>
      <c r="K212" t="s">
        <v>22</v>
      </c>
      <c r="L212" s="12" t="s">
        <v>145</v>
      </c>
    </row>
    <row r="213" spans="1:12" x14ac:dyDescent="0.35">
      <c r="A213" t="s">
        <v>277</v>
      </c>
      <c r="B213" s="10">
        <v>2799</v>
      </c>
      <c r="C213" s="10">
        <v>1239</v>
      </c>
      <c r="D213" s="10">
        <v>5</v>
      </c>
      <c r="E213" s="11" t="s">
        <v>45</v>
      </c>
      <c r="F213" s="11" t="s">
        <v>60</v>
      </c>
      <c r="G213" t="s">
        <v>32</v>
      </c>
      <c r="H213" s="13">
        <v>45284</v>
      </c>
      <c r="I213" s="14" t="s">
        <v>280</v>
      </c>
      <c r="J213" t="s">
        <v>42</v>
      </c>
      <c r="K213" t="s">
        <v>92</v>
      </c>
      <c r="L213" s="12" t="s">
        <v>102</v>
      </c>
    </row>
    <row r="214" spans="1:12" x14ac:dyDescent="0.35">
      <c r="A214" t="s">
        <v>281</v>
      </c>
      <c r="B214" s="10">
        <v>3234</v>
      </c>
      <c r="C214" s="10">
        <v>1029</v>
      </c>
      <c r="D214" s="10">
        <v>20</v>
      </c>
      <c r="E214" s="11" t="s">
        <v>30</v>
      </c>
      <c r="F214" s="11" t="s">
        <v>57</v>
      </c>
      <c r="G214" t="s">
        <v>47</v>
      </c>
      <c r="H214" s="13">
        <v>44640</v>
      </c>
      <c r="I214" s="14" t="s">
        <v>282</v>
      </c>
      <c r="J214" t="s">
        <v>17</v>
      </c>
      <c r="K214" t="s">
        <v>18</v>
      </c>
      <c r="L214" s="12" t="s">
        <v>134</v>
      </c>
    </row>
    <row r="215" spans="1:12" x14ac:dyDescent="0.35">
      <c r="A215" t="s">
        <v>283</v>
      </c>
      <c r="B215" s="10">
        <v>4920</v>
      </c>
      <c r="C215" s="10">
        <v>775</v>
      </c>
      <c r="D215" s="10">
        <v>12</v>
      </c>
      <c r="E215" s="11" t="s">
        <v>45</v>
      </c>
      <c r="F215" s="11" t="s">
        <v>46</v>
      </c>
      <c r="G215" t="s">
        <v>32</v>
      </c>
      <c r="H215" s="13">
        <v>44420</v>
      </c>
      <c r="I215" s="14" t="s">
        <v>284</v>
      </c>
      <c r="J215" t="s">
        <v>21</v>
      </c>
      <c r="K215" t="s">
        <v>63</v>
      </c>
      <c r="L215" s="12" t="s">
        <v>178</v>
      </c>
    </row>
    <row r="216" spans="1:12" x14ac:dyDescent="0.35">
      <c r="A216" t="s">
        <v>283</v>
      </c>
      <c r="B216" s="10">
        <v>9078</v>
      </c>
      <c r="C216" s="10">
        <v>2213</v>
      </c>
      <c r="D216" s="10">
        <v>15</v>
      </c>
      <c r="E216" s="11" t="s">
        <v>45</v>
      </c>
      <c r="F216" s="11" t="s">
        <v>109</v>
      </c>
      <c r="G216" t="s">
        <v>40</v>
      </c>
      <c r="H216" s="13">
        <v>44420</v>
      </c>
      <c r="I216" s="14" t="s">
        <v>284</v>
      </c>
      <c r="J216" t="s">
        <v>21</v>
      </c>
      <c r="K216" t="s">
        <v>63</v>
      </c>
      <c r="L216" s="12" t="s">
        <v>178</v>
      </c>
    </row>
    <row r="217" spans="1:12" x14ac:dyDescent="0.35">
      <c r="A217" t="s">
        <v>285</v>
      </c>
      <c r="B217" s="10">
        <v>8586</v>
      </c>
      <c r="C217" s="10">
        <v>3826</v>
      </c>
      <c r="D217" s="10">
        <v>7</v>
      </c>
      <c r="E217" s="11" t="s">
        <v>45</v>
      </c>
      <c r="F217" s="11" t="s">
        <v>109</v>
      </c>
      <c r="G217" t="s">
        <v>15</v>
      </c>
      <c r="H217" s="13">
        <v>44186</v>
      </c>
      <c r="I217" s="14" t="s">
        <v>286</v>
      </c>
      <c r="J217" t="s">
        <v>17</v>
      </c>
      <c r="K217" t="s">
        <v>18</v>
      </c>
      <c r="L217" s="12" t="s">
        <v>287</v>
      </c>
    </row>
    <row r="218" spans="1:12" x14ac:dyDescent="0.35">
      <c r="A218" t="s">
        <v>285</v>
      </c>
      <c r="B218" s="10">
        <v>8586</v>
      </c>
      <c r="C218" s="10">
        <v>3826</v>
      </c>
      <c r="D218" s="10">
        <v>7</v>
      </c>
      <c r="E218" s="11" t="s">
        <v>45</v>
      </c>
      <c r="F218" s="11" t="s">
        <v>109</v>
      </c>
      <c r="G218" t="s">
        <v>15</v>
      </c>
      <c r="H218" s="13">
        <v>45114</v>
      </c>
      <c r="I218" s="14" t="s">
        <v>288</v>
      </c>
      <c r="J218" t="s">
        <v>17</v>
      </c>
      <c r="K218" t="s">
        <v>150</v>
      </c>
      <c r="L218" s="12" t="s">
        <v>105</v>
      </c>
    </row>
    <row r="219" spans="1:12" x14ac:dyDescent="0.35">
      <c r="A219" t="s">
        <v>289</v>
      </c>
      <c r="B219" s="10">
        <v>5047</v>
      </c>
      <c r="C219" s="10">
        <v>2211</v>
      </c>
      <c r="D219" s="10">
        <v>13</v>
      </c>
      <c r="E219" s="11" t="s">
        <v>45</v>
      </c>
      <c r="F219" s="11" t="s">
        <v>60</v>
      </c>
      <c r="G219" t="s">
        <v>40</v>
      </c>
      <c r="H219" s="13">
        <v>45151</v>
      </c>
      <c r="I219" s="14" t="s">
        <v>290</v>
      </c>
      <c r="J219" t="s">
        <v>42</v>
      </c>
      <c r="K219" t="s">
        <v>92</v>
      </c>
      <c r="L219" s="12" t="s">
        <v>121</v>
      </c>
    </row>
    <row r="220" spans="1:12" x14ac:dyDescent="0.35">
      <c r="A220" t="s">
        <v>289</v>
      </c>
      <c r="B220" s="10">
        <v>5047</v>
      </c>
      <c r="C220" s="10">
        <v>2211</v>
      </c>
      <c r="D220" s="10">
        <v>13</v>
      </c>
      <c r="E220" s="11" t="s">
        <v>45</v>
      </c>
      <c r="F220" s="11" t="s">
        <v>60</v>
      </c>
      <c r="G220" t="s">
        <v>40</v>
      </c>
      <c r="H220" s="13">
        <v>44231</v>
      </c>
      <c r="I220" s="14" t="s">
        <v>291</v>
      </c>
      <c r="J220" t="s">
        <v>21</v>
      </c>
      <c r="K220" t="s">
        <v>22</v>
      </c>
      <c r="L220" s="12" t="s">
        <v>292</v>
      </c>
    </row>
    <row r="221" spans="1:12" x14ac:dyDescent="0.35">
      <c r="A221" t="s">
        <v>289</v>
      </c>
      <c r="B221" s="10">
        <v>5047</v>
      </c>
      <c r="C221" s="10">
        <v>2211</v>
      </c>
      <c r="D221" s="10">
        <v>13</v>
      </c>
      <c r="E221" s="11" t="s">
        <v>45</v>
      </c>
      <c r="F221" s="11" t="s">
        <v>60</v>
      </c>
      <c r="G221" t="s">
        <v>40</v>
      </c>
      <c r="H221" s="13">
        <v>44820</v>
      </c>
      <c r="I221" s="14" t="s">
        <v>293</v>
      </c>
      <c r="J221" t="s">
        <v>21</v>
      </c>
      <c r="K221" t="s">
        <v>172</v>
      </c>
      <c r="L221" s="12" t="s">
        <v>131</v>
      </c>
    </row>
    <row r="222" spans="1:12" x14ac:dyDescent="0.35">
      <c r="A222" t="s">
        <v>289</v>
      </c>
      <c r="B222" s="10">
        <v>5047</v>
      </c>
      <c r="C222" s="10">
        <v>2211</v>
      </c>
      <c r="D222" s="10">
        <v>13</v>
      </c>
      <c r="E222" s="11" t="s">
        <v>45</v>
      </c>
      <c r="F222" s="11" t="s">
        <v>60</v>
      </c>
      <c r="G222" t="s">
        <v>40</v>
      </c>
      <c r="H222" s="13">
        <v>44687</v>
      </c>
      <c r="I222" s="14" t="s">
        <v>294</v>
      </c>
      <c r="J222" t="s">
        <v>25</v>
      </c>
      <c r="K222" t="s">
        <v>26</v>
      </c>
      <c r="L222" s="12" t="s">
        <v>180</v>
      </c>
    </row>
    <row r="223" spans="1:12" x14ac:dyDescent="0.35">
      <c r="A223" t="s">
        <v>295</v>
      </c>
      <c r="B223" s="10">
        <v>3657</v>
      </c>
      <c r="C223" s="10">
        <v>163</v>
      </c>
      <c r="D223" s="10">
        <v>1</v>
      </c>
      <c r="E223" s="11" t="s">
        <v>45</v>
      </c>
      <c r="F223" s="11" t="s">
        <v>60</v>
      </c>
      <c r="G223" t="s">
        <v>15</v>
      </c>
      <c r="H223" s="13">
        <v>44344</v>
      </c>
      <c r="I223" s="14" t="s">
        <v>296</v>
      </c>
      <c r="J223" t="s">
        <v>42</v>
      </c>
      <c r="K223" t="s">
        <v>92</v>
      </c>
      <c r="L223" s="12" t="s">
        <v>108</v>
      </c>
    </row>
    <row r="224" spans="1:12" x14ac:dyDescent="0.35">
      <c r="A224" t="s">
        <v>297</v>
      </c>
      <c r="B224" s="10">
        <v>6471</v>
      </c>
      <c r="C224" s="10">
        <v>2842</v>
      </c>
      <c r="D224" s="10">
        <v>18</v>
      </c>
      <c r="E224" s="11" t="s">
        <v>13</v>
      </c>
      <c r="F224" s="11" t="s">
        <v>14</v>
      </c>
      <c r="G224" t="s">
        <v>15</v>
      </c>
      <c r="H224" s="13">
        <v>45491</v>
      </c>
      <c r="I224" s="14" t="s">
        <v>298</v>
      </c>
      <c r="J224" t="s">
        <v>21</v>
      </c>
      <c r="K224" t="s">
        <v>172</v>
      </c>
      <c r="L224" s="12" t="s">
        <v>215</v>
      </c>
    </row>
    <row r="225" spans="1:12" x14ac:dyDescent="0.35">
      <c r="A225" t="s">
        <v>299</v>
      </c>
      <c r="B225" s="10">
        <v>949</v>
      </c>
      <c r="C225" s="10">
        <v>301</v>
      </c>
      <c r="D225" s="10">
        <v>9</v>
      </c>
      <c r="E225" s="11" t="s">
        <v>30</v>
      </c>
      <c r="F225" s="11" t="s">
        <v>78</v>
      </c>
      <c r="G225" t="s">
        <v>15</v>
      </c>
      <c r="H225" s="13">
        <v>45632</v>
      </c>
      <c r="I225" s="14" t="s">
        <v>300</v>
      </c>
      <c r="J225" t="s">
        <v>98</v>
      </c>
      <c r="K225" t="s">
        <v>117</v>
      </c>
      <c r="L225" s="12" t="s">
        <v>23</v>
      </c>
    </row>
    <row r="226" spans="1:12" x14ac:dyDescent="0.35">
      <c r="A226" t="s">
        <v>299</v>
      </c>
      <c r="B226" s="10">
        <v>6823</v>
      </c>
      <c r="C226" s="10">
        <v>771</v>
      </c>
      <c r="D226" s="10">
        <v>6</v>
      </c>
      <c r="E226" s="11" t="s">
        <v>30</v>
      </c>
      <c r="F226" s="11" t="s">
        <v>78</v>
      </c>
      <c r="G226" t="s">
        <v>40</v>
      </c>
      <c r="H226" s="13">
        <v>45632</v>
      </c>
      <c r="I226" s="14" t="s">
        <v>300</v>
      </c>
      <c r="J226" t="s">
        <v>98</v>
      </c>
      <c r="K226" t="s">
        <v>117</v>
      </c>
      <c r="L226" s="12" t="s">
        <v>23</v>
      </c>
    </row>
    <row r="227" spans="1:12" x14ac:dyDescent="0.35">
      <c r="A227" t="s">
        <v>299</v>
      </c>
      <c r="B227" s="10">
        <v>4364</v>
      </c>
      <c r="C227" s="10">
        <v>831</v>
      </c>
      <c r="D227" s="10">
        <v>2</v>
      </c>
      <c r="E227" s="11" t="s">
        <v>45</v>
      </c>
      <c r="F227" s="11" t="s">
        <v>46</v>
      </c>
      <c r="G227" t="s">
        <v>40</v>
      </c>
      <c r="H227" s="13">
        <v>45632</v>
      </c>
      <c r="I227" s="14" t="s">
        <v>300</v>
      </c>
      <c r="J227" t="s">
        <v>98</v>
      </c>
      <c r="K227" t="s">
        <v>117</v>
      </c>
      <c r="L227" s="12" t="s">
        <v>23</v>
      </c>
    </row>
    <row r="228" spans="1:12" x14ac:dyDescent="0.35">
      <c r="A228" t="s">
        <v>301</v>
      </c>
      <c r="B228" s="10">
        <v>6671</v>
      </c>
      <c r="C228" s="10">
        <v>2797</v>
      </c>
      <c r="D228" s="10">
        <v>10</v>
      </c>
      <c r="E228" s="11" t="s">
        <v>13</v>
      </c>
      <c r="F228" s="11" t="s">
        <v>82</v>
      </c>
      <c r="G228" t="s">
        <v>15</v>
      </c>
      <c r="H228" s="13">
        <v>44907</v>
      </c>
      <c r="I228" s="14" t="s">
        <v>302</v>
      </c>
      <c r="J228" t="s">
        <v>21</v>
      </c>
      <c r="K228" t="s">
        <v>172</v>
      </c>
      <c r="L228" s="12" t="s">
        <v>152</v>
      </c>
    </row>
    <row r="229" spans="1:12" x14ac:dyDescent="0.35">
      <c r="A229" t="s">
        <v>303</v>
      </c>
      <c r="B229" s="10">
        <v>7472</v>
      </c>
      <c r="C229" s="10">
        <v>1037</v>
      </c>
      <c r="D229" s="10">
        <v>3</v>
      </c>
      <c r="E229" s="11" t="s">
        <v>30</v>
      </c>
      <c r="F229" s="11" t="s">
        <v>64</v>
      </c>
      <c r="G229" t="s">
        <v>65</v>
      </c>
      <c r="H229" s="13">
        <v>44854</v>
      </c>
      <c r="I229" s="14" t="s">
        <v>304</v>
      </c>
      <c r="J229" t="s">
        <v>21</v>
      </c>
      <c r="K229" t="s">
        <v>63</v>
      </c>
      <c r="L229" s="12" t="s">
        <v>96</v>
      </c>
    </row>
    <row r="230" spans="1:12" x14ac:dyDescent="0.35">
      <c r="A230" t="s">
        <v>303</v>
      </c>
      <c r="B230" s="10">
        <v>9548</v>
      </c>
      <c r="C230" s="10">
        <v>1806</v>
      </c>
      <c r="D230" s="10">
        <v>9</v>
      </c>
      <c r="E230" s="11" t="s">
        <v>13</v>
      </c>
      <c r="F230" s="11" t="s">
        <v>28</v>
      </c>
      <c r="G230" t="s">
        <v>65</v>
      </c>
      <c r="H230" s="13">
        <v>44854</v>
      </c>
      <c r="I230" s="14" t="s">
        <v>304</v>
      </c>
      <c r="J230" t="s">
        <v>21</v>
      </c>
      <c r="K230" t="s">
        <v>63</v>
      </c>
      <c r="L230" s="12" t="s">
        <v>96</v>
      </c>
    </row>
    <row r="231" spans="1:12" x14ac:dyDescent="0.35">
      <c r="A231" t="s">
        <v>305</v>
      </c>
      <c r="B231" s="10">
        <v>7759</v>
      </c>
      <c r="C231" s="10">
        <v>3741</v>
      </c>
      <c r="D231" s="10">
        <v>17</v>
      </c>
      <c r="E231" s="11" t="s">
        <v>13</v>
      </c>
      <c r="F231" s="11" t="s">
        <v>28</v>
      </c>
      <c r="G231" t="s">
        <v>15</v>
      </c>
      <c r="H231" s="13">
        <v>44279</v>
      </c>
      <c r="I231" s="14" t="s">
        <v>306</v>
      </c>
      <c r="J231" t="s">
        <v>17</v>
      </c>
      <c r="K231" t="s">
        <v>18</v>
      </c>
      <c r="L231" s="12" t="s">
        <v>167</v>
      </c>
    </row>
    <row r="232" spans="1:12" x14ac:dyDescent="0.35">
      <c r="A232" t="s">
        <v>305</v>
      </c>
      <c r="B232" s="10">
        <v>7759</v>
      </c>
      <c r="C232" s="10">
        <v>3741</v>
      </c>
      <c r="D232" s="10">
        <v>17</v>
      </c>
      <c r="E232" s="11" t="s">
        <v>13</v>
      </c>
      <c r="F232" s="11" t="s">
        <v>28</v>
      </c>
      <c r="G232" t="s">
        <v>15</v>
      </c>
      <c r="H232" s="13">
        <v>45663</v>
      </c>
      <c r="I232" s="14" t="s">
        <v>307</v>
      </c>
      <c r="J232" t="s">
        <v>71</v>
      </c>
      <c r="K232" t="s">
        <v>72</v>
      </c>
      <c r="L232" s="12" t="s">
        <v>308</v>
      </c>
    </row>
    <row r="233" spans="1:12" x14ac:dyDescent="0.35">
      <c r="A233" t="s">
        <v>305</v>
      </c>
      <c r="B233" s="10">
        <v>7521</v>
      </c>
      <c r="C233" s="10">
        <v>3457</v>
      </c>
      <c r="D233" s="10">
        <v>16</v>
      </c>
      <c r="E233" s="11" t="s">
        <v>30</v>
      </c>
      <c r="F233" s="11" t="s">
        <v>57</v>
      </c>
      <c r="G233" t="s">
        <v>32</v>
      </c>
      <c r="H233" s="13">
        <v>44279</v>
      </c>
      <c r="I233" s="14" t="s">
        <v>306</v>
      </c>
      <c r="J233" t="s">
        <v>17</v>
      </c>
      <c r="K233" t="s">
        <v>18</v>
      </c>
      <c r="L233" s="12" t="s">
        <v>167</v>
      </c>
    </row>
    <row r="234" spans="1:12" x14ac:dyDescent="0.35">
      <c r="A234" t="s">
        <v>305</v>
      </c>
      <c r="B234" s="10">
        <v>7521</v>
      </c>
      <c r="C234" s="10">
        <v>3457</v>
      </c>
      <c r="D234" s="10">
        <v>16</v>
      </c>
      <c r="E234" s="11" t="s">
        <v>30</v>
      </c>
      <c r="F234" s="11" t="s">
        <v>57</v>
      </c>
      <c r="G234" t="s">
        <v>32</v>
      </c>
      <c r="H234" s="13">
        <v>45663</v>
      </c>
      <c r="I234" s="14" t="s">
        <v>307</v>
      </c>
      <c r="J234" t="s">
        <v>71</v>
      </c>
      <c r="K234" t="s">
        <v>72</v>
      </c>
      <c r="L234" s="12" t="s">
        <v>308</v>
      </c>
    </row>
    <row r="235" spans="1:12" x14ac:dyDescent="0.35">
      <c r="A235" t="s">
        <v>309</v>
      </c>
      <c r="B235" s="10">
        <v>9704</v>
      </c>
      <c r="C235" s="10">
        <v>4339</v>
      </c>
      <c r="D235" s="10">
        <v>12</v>
      </c>
      <c r="E235" s="11" t="s">
        <v>30</v>
      </c>
      <c r="F235" s="11" t="s">
        <v>31</v>
      </c>
      <c r="G235" t="s">
        <v>65</v>
      </c>
      <c r="H235" s="13">
        <v>44261</v>
      </c>
      <c r="I235" s="14" t="s">
        <v>310</v>
      </c>
      <c r="J235" t="s">
        <v>71</v>
      </c>
      <c r="K235" t="s">
        <v>138</v>
      </c>
      <c r="L235" s="12" t="s">
        <v>167</v>
      </c>
    </row>
    <row r="236" spans="1:12" x14ac:dyDescent="0.35">
      <c r="A236" t="s">
        <v>309</v>
      </c>
      <c r="B236" s="10">
        <v>4948</v>
      </c>
      <c r="C236" s="10">
        <v>2356</v>
      </c>
      <c r="D236" s="10">
        <v>18</v>
      </c>
      <c r="E236" s="11" t="s">
        <v>13</v>
      </c>
      <c r="F236" s="11" t="s">
        <v>28</v>
      </c>
      <c r="G236" t="s">
        <v>32</v>
      </c>
      <c r="H236" s="13">
        <v>44261</v>
      </c>
      <c r="I236" s="14" t="s">
        <v>310</v>
      </c>
      <c r="J236" t="s">
        <v>71</v>
      </c>
      <c r="K236" t="s">
        <v>138</v>
      </c>
      <c r="L236" s="12" t="s">
        <v>167</v>
      </c>
    </row>
    <row r="237" spans="1:12" x14ac:dyDescent="0.35">
      <c r="A237" t="s">
        <v>309</v>
      </c>
      <c r="B237" s="10">
        <v>6435</v>
      </c>
      <c r="C237" s="10">
        <v>334</v>
      </c>
      <c r="D237" s="10">
        <v>10</v>
      </c>
      <c r="E237" s="11" t="s">
        <v>13</v>
      </c>
      <c r="F237" s="11" t="s">
        <v>14</v>
      </c>
      <c r="G237" t="s">
        <v>32</v>
      </c>
      <c r="H237" s="13">
        <v>44261</v>
      </c>
      <c r="I237" s="14" t="s">
        <v>310</v>
      </c>
      <c r="J237" t="s">
        <v>71</v>
      </c>
      <c r="K237" t="s">
        <v>138</v>
      </c>
      <c r="L237" s="12" t="s">
        <v>167</v>
      </c>
    </row>
    <row r="238" spans="1:12" x14ac:dyDescent="0.35">
      <c r="A238" t="s">
        <v>311</v>
      </c>
      <c r="B238" s="10">
        <v>9965</v>
      </c>
      <c r="C238" s="10">
        <v>3033</v>
      </c>
      <c r="D238" s="10">
        <v>16</v>
      </c>
      <c r="E238" s="11" t="s">
        <v>30</v>
      </c>
      <c r="F238" s="11" t="s">
        <v>57</v>
      </c>
      <c r="G238" t="s">
        <v>65</v>
      </c>
      <c r="H238" s="13">
        <v>43999</v>
      </c>
      <c r="I238" s="14" t="s">
        <v>312</v>
      </c>
      <c r="J238" t="s">
        <v>42</v>
      </c>
      <c r="K238" t="s">
        <v>92</v>
      </c>
      <c r="L238" s="12" t="s">
        <v>313</v>
      </c>
    </row>
    <row r="239" spans="1:12" x14ac:dyDescent="0.35">
      <c r="A239" t="s">
        <v>311</v>
      </c>
      <c r="B239" s="10">
        <v>9965</v>
      </c>
      <c r="C239" s="10">
        <v>3033</v>
      </c>
      <c r="D239" s="10">
        <v>16</v>
      </c>
      <c r="E239" s="11" t="s">
        <v>30</v>
      </c>
      <c r="F239" s="11" t="s">
        <v>57</v>
      </c>
      <c r="G239" t="s">
        <v>65</v>
      </c>
      <c r="H239" s="13">
        <v>45170</v>
      </c>
      <c r="I239" s="14" t="s">
        <v>314</v>
      </c>
      <c r="J239" t="s">
        <v>25</v>
      </c>
      <c r="K239" t="s">
        <v>26</v>
      </c>
      <c r="L239" s="12" t="s">
        <v>273</v>
      </c>
    </row>
    <row r="240" spans="1:12" x14ac:dyDescent="0.35">
      <c r="A240" t="s">
        <v>315</v>
      </c>
      <c r="B240" s="10">
        <v>1523</v>
      </c>
      <c r="C240" s="10">
        <v>234</v>
      </c>
      <c r="D240" s="10">
        <v>3</v>
      </c>
      <c r="E240" s="11" t="s">
        <v>45</v>
      </c>
      <c r="F240" s="11" t="s">
        <v>60</v>
      </c>
      <c r="G240" t="s">
        <v>15</v>
      </c>
      <c r="H240" s="13">
        <v>45085</v>
      </c>
      <c r="I240" s="14" t="s">
        <v>316</v>
      </c>
      <c r="J240" t="s">
        <v>25</v>
      </c>
      <c r="K240" t="s">
        <v>68</v>
      </c>
      <c r="L240" s="12" t="s">
        <v>19</v>
      </c>
    </row>
    <row r="241" spans="1:12" x14ac:dyDescent="0.35">
      <c r="A241" t="s">
        <v>315</v>
      </c>
      <c r="B241" s="10">
        <v>9073</v>
      </c>
      <c r="C241" s="10">
        <v>424</v>
      </c>
      <c r="D241" s="10">
        <v>7</v>
      </c>
      <c r="E241" s="11" t="s">
        <v>13</v>
      </c>
      <c r="F241" s="11" t="s">
        <v>14</v>
      </c>
      <c r="G241" t="s">
        <v>32</v>
      </c>
      <c r="H241" s="13">
        <v>45085</v>
      </c>
      <c r="I241" s="14" t="s">
        <v>316</v>
      </c>
      <c r="J241" t="s">
        <v>25</v>
      </c>
      <c r="K241" t="s">
        <v>68</v>
      </c>
      <c r="L241" s="12" t="s">
        <v>19</v>
      </c>
    </row>
    <row r="242" spans="1:12" x14ac:dyDescent="0.35">
      <c r="A242" t="s">
        <v>317</v>
      </c>
      <c r="B242" s="10">
        <v>6447</v>
      </c>
      <c r="C242" s="10">
        <v>3079</v>
      </c>
      <c r="D242" s="10">
        <v>20</v>
      </c>
      <c r="E242" s="11" t="s">
        <v>13</v>
      </c>
      <c r="F242" s="11" t="s">
        <v>39</v>
      </c>
      <c r="G242" t="s">
        <v>65</v>
      </c>
      <c r="H242" s="13">
        <v>44280</v>
      </c>
      <c r="I242" s="14" t="s">
        <v>318</v>
      </c>
      <c r="J242" t="s">
        <v>25</v>
      </c>
      <c r="K242" t="s">
        <v>68</v>
      </c>
      <c r="L242" s="12" t="s">
        <v>167</v>
      </c>
    </row>
    <row r="243" spans="1:12" x14ac:dyDescent="0.35">
      <c r="A243" t="s">
        <v>317</v>
      </c>
      <c r="B243" s="10">
        <v>8947</v>
      </c>
      <c r="C243" s="10">
        <v>2807</v>
      </c>
      <c r="D243" s="10">
        <v>6</v>
      </c>
      <c r="E243" s="11" t="s">
        <v>13</v>
      </c>
      <c r="F243" s="11" t="s">
        <v>14</v>
      </c>
      <c r="G243" t="s">
        <v>47</v>
      </c>
      <c r="H243" s="13">
        <v>44280</v>
      </c>
      <c r="I243" s="14" t="s">
        <v>318</v>
      </c>
      <c r="J243" t="s">
        <v>25</v>
      </c>
      <c r="K243" t="s">
        <v>68</v>
      </c>
      <c r="L243" s="12" t="s">
        <v>167</v>
      </c>
    </row>
    <row r="244" spans="1:12" x14ac:dyDescent="0.35">
      <c r="A244" t="s">
        <v>319</v>
      </c>
      <c r="B244" s="10">
        <v>914</v>
      </c>
      <c r="C244" s="10">
        <v>400</v>
      </c>
      <c r="D244" s="10">
        <v>8</v>
      </c>
      <c r="E244" s="11" t="s">
        <v>30</v>
      </c>
      <c r="F244" s="11" t="s">
        <v>31</v>
      </c>
      <c r="G244" t="s">
        <v>32</v>
      </c>
      <c r="H244" s="13">
        <v>44199</v>
      </c>
      <c r="I244" s="14" t="s">
        <v>320</v>
      </c>
      <c r="J244" t="s">
        <v>42</v>
      </c>
      <c r="K244" t="s">
        <v>43</v>
      </c>
      <c r="L244" s="12" t="s">
        <v>276</v>
      </c>
    </row>
    <row r="245" spans="1:12" x14ac:dyDescent="0.35">
      <c r="A245" t="s">
        <v>319</v>
      </c>
      <c r="B245" s="10">
        <v>1548</v>
      </c>
      <c r="C245" s="10">
        <v>666</v>
      </c>
      <c r="D245" s="10">
        <v>3</v>
      </c>
      <c r="E245" s="11" t="s">
        <v>30</v>
      </c>
      <c r="F245" s="11" t="s">
        <v>64</v>
      </c>
      <c r="G245" t="s">
        <v>47</v>
      </c>
      <c r="H245" s="13">
        <v>44199</v>
      </c>
      <c r="I245" s="14" t="s">
        <v>320</v>
      </c>
      <c r="J245" t="s">
        <v>42</v>
      </c>
      <c r="K245" t="s">
        <v>43</v>
      </c>
      <c r="L245" s="12" t="s">
        <v>276</v>
      </c>
    </row>
    <row r="246" spans="1:12" x14ac:dyDescent="0.35">
      <c r="A246" t="s">
        <v>321</v>
      </c>
      <c r="B246" s="10">
        <v>2759</v>
      </c>
      <c r="C246" s="10">
        <v>1149</v>
      </c>
      <c r="D246" s="10">
        <v>6</v>
      </c>
      <c r="E246" s="11" t="s">
        <v>45</v>
      </c>
      <c r="F246" s="11" t="s">
        <v>46</v>
      </c>
      <c r="G246" t="s">
        <v>47</v>
      </c>
      <c r="H246" s="13">
        <v>45653</v>
      </c>
      <c r="I246" s="14" t="s">
        <v>322</v>
      </c>
      <c r="J246" t="s">
        <v>25</v>
      </c>
      <c r="K246" t="s">
        <v>51</v>
      </c>
      <c r="L246" s="12" t="s">
        <v>23</v>
      </c>
    </row>
    <row r="247" spans="1:12" x14ac:dyDescent="0.35">
      <c r="A247" t="s">
        <v>323</v>
      </c>
      <c r="B247" s="10">
        <v>1341</v>
      </c>
      <c r="C247" s="10">
        <v>615</v>
      </c>
      <c r="D247" s="10">
        <v>4</v>
      </c>
      <c r="E247" s="11" t="s">
        <v>13</v>
      </c>
      <c r="F247" s="11" t="s">
        <v>39</v>
      </c>
      <c r="G247" t="s">
        <v>15</v>
      </c>
      <c r="H247" s="13">
        <v>44785</v>
      </c>
      <c r="I247" s="14" t="s">
        <v>324</v>
      </c>
      <c r="J247" t="s">
        <v>17</v>
      </c>
      <c r="K247" t="s">
        <v>34</v>
      </c>
      <c r="L247" s="12" t="s">
        <v>209</v>
      </c>
    </row>
    <row r="248" spans="1:12" x14ac:dyDescent="0.35">
      <c r="A248" t="s">
        <v>325</v>
      </c>
      <c r="B248" s="10">
        <v>9851</v>
      </c>
      <c r="C248" s="10">
        <v>2669</v>
      </c>
      <c r="D248" s="10">
        <v>19</v>
      </c>
      <c r="E248" s="11" t="s">
        <v>13</v>
      </c>
      <c r="F248" s="11" t="s">
        <v>14</v>
      </c>
      <c r="G248" t="s">
        <v>32</v>
      </c>
      <c r="H248" s="13">
        <v>44648</v>
      </c>
      <c r="I248" s="14" t="s">
        <v>326</v>
      </c>
      <c r="J248" t="s">
        <v>98</v>
      </c>
      <c r="K248" t="s">
        <v>117</v>
      </c>
      <c r="L248" s="12" t="s">
        <v>134</v>
      </c>
    </row>
    <row r="249" spans="1:12" x14ac:dyDescent="0.35">
      <c r="A249" t="s">
        <v>325</v>
      </c>
      <c r="B249" s="10">
        <v>9851</v>
      </c>
      <c r="C249" s="10">
        <v>2669</v>
      </c>
      <c r="D249" s="10">
        <v>19</v>
      </c>
      <c r="E249" s="11" t="s">
        <v>13</v>
      </c>
      <c r="F249" s="11" t="s">
        <v>14</v>
      </c>
      <c r="G249" t="s">
        <v>32</v>
      </c>
      <c r="H249" s="13">
        <v>45122</v>
      </c>
      <c r="I249" s="14" t="s">
        <v>327</v>
      </c>
      <c r="J249" t="s">
        <v>25</v>
      </c>
      <c r="K249" t="s">
        <v>26</v>
      </c>
      <c r="L249" s="12" t="s">
        <v>105</v>
      </c>
    </row>
    <row r="250" spans="1:12" x14ac:dyDescent="0.35">
      <c r="A250" t="s">
        <v>325</v>
      </c>
      <c r="B250" s="10">
        <v>9851</v>
      </c>
      <c r="C250" s="10">
        <v>2669</v>
      </c>
      <c r="D250" s="10">
        <v>19</v>
      </c>
      <c r="E250" s="11" t="s">
        <v>13</v>
      </c>
      <c r="F250" s="11" t="s">
        <v>14</v>
      </c>
      <c r="G250" t="s">
        <v>32</v>
      </c>
      <c r="H250" s="13">
        <v>44826</v>
      </c>
      <c r="I250" s="14" t="s">
        <v>328</v>
      </c>
      <c r="J250" t="s">
        <v>17</v>
      </c>
      <c r="K250" t="s">
        <v>34</v>
      </c>
      <c r="L250" s="12" t="s">
        <v>131</v>
      </c>
    </row>
    <row r="251" spans="1:12" x14ac:dyDescent="0.35">
      <c r="A251" t="s">
        <v>325</v>
      </c>
      <c r="B251" s="10">
        <v>9989</v>
      </c>
      <c r="C251" s="10">
        <v>3930</v>
      </c>
      <c r="D251" s="10">
        <v>14</v>
      </c>
      <c r="E251" s="11" t="s">
        <v>45</v>
      </c>
      <c r="F251" s="11" t="s">
        <v>46</v>
      </c>
      <c r="G251" t="s">
        <v>32</v>
      </c>
      <c r="H251" s="13">
        <v>44648</v>
      </c>
      <c r="I251" s="14" t="s">
        <v>326</v>
      </c>
      <c r="J251" t="s">
        <v>98</v>
      </c>
      <c r="K251" t="s">
        <v>117</v>
      </c>
      <c r="L251" s="12" t="s">
        <v>134</v>
      </c>
    </row>
    <row r="252" spans="1:12" x14ac:dyDescent="0.35">
      <c r="A252" t="s">
        <v>325</v>
      </c>
      <c r="B252" s="10">
        <v>9989</v>
      </c>
      <c r="C252" s="10">
        <v>3930</v>
      </c>
      <c r="D252" s="10">
        <v>14</v>
      </c>
      <c r="E252" s="11" t="s">
        <v>45</v>
      </c>
      <c r="F252" s="11" t="s">
        <v>46</v>
      </c>
      <c r="G252" t="s">
        <v>32</v>
      </c>
      <c r="H252" s="13">
        <v>45122</v>
      </c>
      <c r="I252" s="14" t="s">
        <v>327</v>
      </c>
      <c r="J252" t="s">
        <v>25</v>
      </c>
      <c r="K252" t="s">
        <v>26</v>
      </c>
      <c r="L252" s="12" t="s">
        <v>105</v>
      </c>
    </row>
    <row r="253" spans="1:12" x14ac:dyDescent="0.35">
      <c r="A253" t="s">
        <v>325</v>
      </c>
      <c r="B253" s="10">
        <v>9989</v>
      </c>
      <c r="C253" s="10">
        <v>3930</v>
      </c>
      <c r="D253" s="10">
        <v>14</v>
      </c>
      <c r="E253" s="11" t="s">
        <v>45</v>
      </c>
      <c r="F253" s="11" t="s">
        <v>46</v>
      </c>
      <c r="G253" t="s">
        <v>32</v>
      </c>
      <c r="H253" s="13">
        <v>44826</v>
      </c>
      <c r="I253" s="14" t="s">
        <v>328</v>
      </c>
      <c r="J253" t="s">
        <v>17</v>
      </c>
      <c r="K253" t="s">
        <v>34</v>
      </c>
      <c r="L253" s="12" t="s">
        <v>131</v>
      </c>
    </row>
    <row r="254" spans="1:12" x14ac:dyDescent="0.35">
      <c r="A254" t="s">
        <v>329</v>
      </c>
      <c r="B254" s="10">
        <v>7421</v>
      </c>
      <c r="C254" s="10">
        <v>958</v>
      </c>
      <c r="D254" s="10">
        <v>10</v>
      </c>
      <c r="E254" s="11" t="s">
        <v>45</v>
      </c>
      <c r="F254" s="11" t="s">
        <v>46</v>
      </c>
      <c r="G254" t="s">
        <v>65</v>
      </c>
      <c r="H254" s="13">
        <v>44915</v>
      </c>
      <c r="I254" s="14" t="s">
        <v>330</v>
      </c>
      <c r="J254" t="s">
        <v>71</v>
      </c>
      <c r="K254" t="s">
        <v>138</v>
      </c>
      <c r="L254" s="12" t="s">
        <v>152</v>
      </c>
    </row>
    <row r="255" spans="1:12" x14ac:dyDescent="0.35">
      <c r="A255" t="s">
        <v>329</v>
      </c>
      <c r="B255" s="10">
        <v>7421</v>
      </c>
      <c r="C255" s="10">
        <v>958</v>
      </c>
      <c r="D255" s="10">
        <v>10</v>
      </c>
      <c r="E255" s="11" t="s">
        <v>45</v>
      </c>
      <c r="F255" s="11" t="s">
        <v>46</v>
      </c>
      <c r="G255" t="s">
        <v>65</v>
      </c>
      <c r="H255" s="13">
        <v>44577</v>
      </c>
      <c r="I255" s="14" t="s">
        <v>331</v>
      </c>
      <c r="J255" t="s">
        <v>71</v>
      </c>
      <c r="K255" t="s">
        <v>138</v>
      </c>
      <c r="L255" s="12" t="s">
        <v>87</v>
      </c>
    </row>
    <row r="256" spans="1:12" x14ac:dyDescent="0.35">
      <c r="A256" t="s">
        <v>329</v>
      </c>
      <c r="B256" s="10">
        <v>7421</v>
      </c>
      <c r="C256" s="10">
        <v>958</v>
      </c>
      <c r="D256" s="10">
        <v>10</v>
      </c>
      <c r="E256" s="11" t="s">
        <v>45</v>
      </c>
      <c r="F256" s="11" t="s">
        <v>46</v>
      </c>
      <c r="G256" t="s">
        <v>65</v>
      </c>
      <c r="H256" s="13">
        <v>44955</v>
      </c>
      <c r="I256" s="14" t="s">
        <v>332</v>
      </c>
      <c r="J256" t="s">
        <v>71</v>
      </c>
      <c r="K256" t="s">
        <v>72</v>
      </c>
      <c r="L256" s="12" t="s">
        <v>333</v>
      </c>
    </row>
    <row r="257" spans="1:12" x14ac:dyDescent="0.35">
      <c r="A257" t="s">
        <v>334</v>
      </c>
      <c r="B257" s="10">
        <v>3099</v>
      </c>
      <c r="C257" s="10">
        <v>479</v>
      </c>
      <c r="D257" s="10">
        <v>1</v>
      </c>
      <c r="E257" s="11" t="s">
        <v>30</v>
      </c>
      <c r="F257" s="11" t="s">
        <v>64</v>
      </c>
      <c r="G257" t="s">
        <v>65</v>
      </c>
      <c r="H257" s="13">
        <v>44576</v>
      </c>
      <c r="I257" s="14" t="s">
        <v>335</v>
      </c>
      <c r="J257" t="s">
        <v>25</v>
      </c>
      <c r="K257" t="s">
        <v>26</v>
      </c>
      <c r="L257" s="12" t="s">
        <v>87</v>
      </c>
    </row>
    <row r="258" spans="1:12" x14ac:dyDescent="0.35">
      <c r="A258" t="s">
        <v>334</v>
      </c>
      <c r="B258" s="10">
        <v>2521</v>
      </c>
      <c r="C258" s="10">
        <v>906</v>
      </c>
      <c r="D258" s="10">
        <v>7</v>
      </c>
      <c r="E258" s="11" t="s">
        <v>13</v>
      </c>
      <c r="F258" s="11" t="s">
        <v>82</v>
      </c>
      <c r="G258" t="s">
        <v>65</v>
      </c>
      <c r="H258" s="13">
        <v>44576</v>
      </c>
      <c r="I258" s="14" t="s">
        <v>335</v>
      </c>
      <c r="J258" t="s">
        <v>25</v>
      </c>
      <c r="K258" t="s">
        <v>26</v>
      </c>
      <c r="L258" s="12" t="s">
        <v>87</v>
      </c>
    </row>
    <row r="259" spans="1:12" x14ac:dyDescent="0.35">
      <c r="A259" t="s">
        <v>336</v>
      </c>
      <c r="B259" s="10">
        <v>6962</v>
      </c>
      <c r="C259" s="10">
        <v>3429</v>
      </c>
      <c r="D259" s="10">
        <v>12</v>
      </c>
      <c r="E259" s="11" t="s">
        <v>13</v>
      </c>
      <c r="F259" s="11" t="s">
        <v>14</v>
      </c>
      <c r="G259" t="s">
        <v>15</v>
      </c>
      <c r="H259" s="13">
        <v>45375</v>
      </c>
      <c r="I259" s="14" t="s">
        <v>337</v>
      </c>
      <c r="J259" t="s">
        <v>71</v>
      </c>
      <c r="K259" t="s">
        <v>72</v>
      </c>
      <c r="L259" s="12" t="s">
        <v>338</v>
      </c>
    </row>
    <row r="260" spans="1:12" x14ac:dyDescent="0.35">
      <c r="A260" t="s">
        <v>336</v>
      </c>
      <c r="B260" s="10">
        <v>6962</v>
      </c>
      <c r="C260" s="10">
        <v>3429</v>
      </c>
      <c r="D260" s="10">
        <v>12</v>
      </c>
      <c r="E260" s="11" t="s">
        <v>13</v>
      </c>
      <c r="F260" s="11" t="s">
        <v>14</v>
      </c>
      <c r="G260" t="s">
        <v>15</v>
      </c>
      <c r="H260" s="13">
        <v>45707</v>
      </c>
      <c r="I260" s="14" t="s">
        <v>339</v>
      </c>
      <c r="J260" t="s">
        <v>17</v>
      </c>
      <c r="K260" t="s">
        <v>18</v>
      </c>
      <c r="L260" s="12" t="s">
        <v>73</v>
      </c>
    </row>
    <row r="261" spans="1:12" x14ac:dyDescent="0.35">
      <c r="A261" t="s">
        <v>340</v>
      </c>
      <c r="B261" s="10">
        <v>1085</v>
      </c>
      <c r="C261" s="10">
        <v>301</v>
      </c>
      <c r="D261" s="10">
        <v>20</v>
      </c>
      <c r="E261" s="11" t="s">
        <v>45</v>
      </c>
      <c r="F261" s="11" t="s">
        <v>109</v>
      </c>
      <c r="G261" t="s">
        <v>15</v>
      </c>
      <c r="H261" s="13">
        <v>45486</v>
      </c>
      <c r="I261" s="14" t="s">
        <v>341</v>
      </c>
      <c r="J261" t="s">
        <v>25</v>
      </c>
      <c r="K261" t="s">
        <v>26</v>
      </c>
      <c r="L261" s="12" t="s">
        <v>215</v>
      </c>
    </row>
    <row r="262" spans="1:12" x14ac:dyDescent="0.35">
      <c r="A262" t="s">
        <v>342</v>
      </c>
      <c r="B262" s="10">
        <v>738</v>
      </c>
      <c r="C262" s="10">
        <v>342</v>
      </c>
      <c r="D262" s="10">
        <v>2</v>
      </c>
      <c r="E262" s="11" t="s">
        <v>45</v>
      </c>
      <c r="F262" s="11" t="s">
        <v>49</v>
      </c>
      <c r="G262" t="s">
        <v>32</v>
      </c>
      <c r="H262" s="13">
        <v>45044</v>
      </c>
      <c r="I262" s="14" t="s">
        <v>343</v>
      </c>
      <c r="J262" t="s">
        <v>98</v>
      </c>
      <c r="K262" t="s">
        <v>107</v>
      </c>
      <c r="L262" s="12" t="s">
        <v>145</v>
      </c>
    </row>
    <row r="263" spans="1:12" x14ac:dyDescent="0.35">
      <c r="A263" t="s">
        <v>342</v>
      </c>
      <c r="B263" s="10">
        <v>738</v>
      </c>
      <c r="C263" s="10">
        <v>342</v>
      </c>
      <c r="D263" s="10">
        <v>2</v>
      </c>
      <c r="E263" s="11" t="s">
        <v>45</v>
      </c>
      <c r="F263" s="11" t="s">
        <v>49</v>
      </c>
      <c r="G263" t="s">
        <v>32</v>
      </c>
      <c r="H263" s="13">
        <v>44170</v>
      </c>
      <c r="I263" s="14" t="s">
        <v>344</v>
      </c>
      <c r="J263" t="s">
        <v>25</v>
      </c>
      <c r="K263" t="s">
        <v>26</v>
      </c>
      <c r="L263" s="12" t="s">
        <v>287</v>
      </c>
    </row>
    <row r="264" spans="1:12" x14ac:dyDescent="0.35">
      <c r="A264" t="s">
        <v>342</v>
      </c>
      <c r="B264" s="10">
        <v>738</v>
      </c>
      <c r="C264" s="10">
        <v>342</v>
      </c>
      <c r="D264" s="10">
        <v>2</v>
      </c>
      <c r="E264" s="11" t="s">
        <v>45</v>
      </c>
      <c r="F264" s="11" t="s">
        <v>49</v>
      </c>
      <c r="G264" t="s">
        <v>32</v>
      </c>
      <c r="H264" s="13">
        <v>45426</v>
      </c>
      <c r="I264" s="14" t="s">
        <v>345</v>
      </c>
      <c r="J264" t="s">
        <v>98</v>
      </c>
      <c r="K264" t="s">
        <v>107</v>
      </c>
      <c r="L264" s="12" t="s">
        <v>35</v>
      </c>
    </row>
    <row r="265" spans="1:12" x14ac:dyDescent="0.35">
      <c r="A265" t="s">
        <v>342</v>
      </c>
      <c r="B265" s="10">
        <v>738</v>
      </c>
      <c r="C265" s="10">
        <v>342</v>
      </c>
      <c r="D265" s="10">
        <v>2</v>
      </c>
      <c r="E265" s="11" t="s">
        <v>45</v>
      </c>
      <c r="F265" s="11" t="s">
        <v>49</v>
      </c>
      <c r="G265" t="s">
        <v>32</v>
      </c>
      <c r="H265" s="13">
        <v>44579</v>
      </c>
      <c r="I265" s="14" t="s">
        <v>346</v>
      </c>
      <c r="J265" t="s">
        <v>25</v>
      </c>
      <c r="K265" t="s">
        <v>51</v>
      </c>
      <c r="L265" s="12" t="s">
        <v>87</v>
      </c>
    </row>
    <row r="266" spans="1:12" x14ac:dyDescent="0.35">
      <c r="A266" t="s">
        <v>347</v>
      </c>
      <c r="B266" s="10">
        <v>1366</v>
      </c>
      <c r="C266" s="10">
        <v>242</v>
      </c>
      <c r="D266" s="10">
        <v>17</v>
      </c>
      <c r="E266" s="11" t="s">
        <v>13</v>
      </c>
      <c r="F266" s="11" t="s">
        <v>14</v>
      </c>
      <c r="G266" t="s">
        <v>40</v>
      </c>
      <c r="H266" s="13">
        <v>45187</v>
      </c>
      <c r="I266" s="14" t="s">
        <v>348</v>
      </c>
      <c r="J266" t="s">
        <v>98</v>
      </c>
      <c r="K266" t="s">
        <v>99</v>
      </c>
      <c r="L266" s="12" t="s">
        <v>273</v>
      </c>
    </row>
    <row r="267" spans="1:12" x14ac:dyDescent="0.35">
      <c r="A267" t="s">
        <v>347</v>
      </c>
      <c r="B267" s="10">
        <v>1518</v>
      </c>
      <c r="C267" s="10">
        <v>155</v>
      </c>
      <c r="D267" s="10">
        <v>13</v>
      </c>
      <c r="E267" s="11" t="s">
        <v>30</v>
      </c>
      <c r="F267" s="11" t="s">
        <v>57</v>
      </c>
      <c r="G267" t="s">
        <v>47</v>
      </c>
      <c r="H267" s="13">
        <v>45187</v>
      </c>
      <c r="I267" s="14" t="s">
        <v>348</v>
      </c>
      <c r="J267" t="s">
        <v>98</v>
      </c>
      <c r="K267" t="s">
        <v>99</v>
      </c>
      <c r="L267" s="12" t="s">
        <v>273</v>
      </c>
    </row>
    <row r="268" spans="1:12" x14ac:dyDescent="0.35">
      <c r="A268" t="s">
        <v>349</v>
      </c>
      <c r="B268" s="10">
        <v>2962</v>
      </c>
      <c r="C268" s="10">
        <v>1470</v>
      </c>
      <c r="D268" s="10">
        <v>1</v>
      </c>
      <c r="E268" s="11" t="s">
        <v>13</v>
      </c>
      <c r="F268" s="11" t="s">
        <v>82</v>
      </c>
      <c r="G268" t="s">
        <v>65</v>
      </c>
      <c r="H268" s="13">
        <v>44328</v>
      </c>
      <c r="I268" s="14" t="s">
        <v>350</v>
      </c>
      <c r="J268" t="s">
        <v>25</v>
      </c>
      <c r="K268" t="s">
        <v>26</v>
      </c>
      <c r="L268" s="12" t="s">
        <v>108</v>
      </c>
    </row>
    <row r="269" spans="1:12" x14ac:dyDescent="0.35">
      <c r="A269" t="s">
        <v>349</v>
      </c>
      <c r="B269" s="10">
        <v>2962</v>
      </c>
      <c r="C269" s="10">
        <v>1470</v>
      </c>
      <c r="D269" s="10">
        <v>1</v>
      </c>
      <c r="E269" s="11" t="s">
        <v>13</v>
      </c>
      <c r="F269" s="11" t="s">
        <v>82</v>
      </c>
      <c r="G269" t="s">
        <v>65</v>
      </c>
      <c r="H269" s="13">
        <v>45186</v>
      </c>
      <c r="I269" s="14" t="s">
        <v>351</v>
      </c>
      <c r="J269" t="s">
        <v>17</v>
      </c>
      <c r="K269" t="s">
        <v>150</v>
      </c>
      <c r="L269" s="12" t="s">
        <v>273</v>
      </c>
    </row>
    <row r="270" spans="1:12" x14ac:dyDescent="0.35">
      <c r="A270" t="s">
        <v>349</v>
      </c>
      <c r="B270" s="10">
        <v>7131</v>
      </c>
      <c r="C270" s="10">
        <v>718</v>
      </c>
      <c r="D270" s="10">
        <v>12</v>
      </c>
      <c r="E270" s="11" t="s">
        <v>13</v>
      </c>
      <c r="F270" s="11" t="s">
        <v>28</v>
      </c>
      <c r="G270" t="s">
        <v>15</v>
      </c>
      <c r="H270" s="13">
        <v>44328</v>
      </c>
      <c r="I270" s="14" t="s">
        <v>350</v>
      </c>
      <c r="J270" t="s">
        <v>25</v>
      </c>
      <c r="K270" t="s">
        <v>26</v>
      </c>
      <c r="L270" s="12" t="s">
        <v>108</v>
      </c>
    </row>
    <row r="271" spans="1:12" x14ac:dyDescent="0.35">
      <c r="A271" t="s">
        <v>349</v>
      </c>
      <c r="B271" s="10">
        <v>7131</v>
      </c>
      <c r="C271" s="10">
        <v>718</v>
      </c>
      <c r="D271" s="10">
        <v>12</v>
      </c>
      <c r="E271" s="11" t="s">
        <v>13</v>
      </c>
      <c r="F271" s="11" t="s">
        <v>28</v>
      </c>
      <c r="G271" t="s">
        <v>15</v>
      </c>
      <c r="H271" s="13">
        <v>45186</v>
      </c>
      <c r="I271" s="14" t="s">
        <v>351</v>
      </c>
      <c r="J271" t="s">
        <v>17</v>
      </c>
      <c r="K271" t="s">
        <v>150</v>
      </c>
      <c r="L271" s="12" t="s">
        <v>273</v>
      </c>
    </row>
    <row r="272" spans="1:12" x14ac:dyDescent="0.35">
      <c r="A272" t="s">
        <v>349</v>
      </c>
      <c r="B272" s="10">
        <v>4200</v>
      </c>
      <c r="C272" s="10">
        <v>855</v>
      </c>
      <c r="D272" s="10">
        <v>10</v>
      </c>
      <c r="E272" s="11" t="s">
        <v>30</v>
      </c>
      <c r="F272" s="11" t="s">
        <v>57</v>
      </c>
      <c r="G272" t="s">
        <v>40</v>
      </c>
      <c r="H272" s="13">
        <v>44328</v>
      </c>
      <c r="I272" s="14" t="s">
        <v>350</v>
      </c>
      <c r="J272" t="s">
        <v>25</v>
      </c>
      <c r="K272" t="s">
        <v>26</v>
      </c>
      <c r="L272" s="12" t="s">
        <v>108</v>
      </c>
    </row>
    <row r="273" spans="1:12" x14ac:dyDescent="0.35">
      <c r="A273" t="s">
        <v>349</v>
      </c>
      <c r="B273" s="10">
        <v>4200</v>
      </c>
      <c r="C273" s="10">
        <v>855</v>
      </c>
      <c r="D273" s="10">
        <v>10</v>
      </c>
      <c r="E273" s="11" t="s">
        <v>30</v>
      </c>
      <c r="F273" s="11" t="s">
        <v>57</v>
      </c>
      <c r="G273" t="s">
        <v>40</v>
      </c>
      <c r="H273" s="13">
        <v>45186</v>
      </c>
      <c r="I273" s="14" t="s">
        <v>351</v>
      </c>
      <c r="J273" t="s">
        <v>17</v>
      </c>
      <c r="K273" t="s">
        <v>150</v>
      </c>
      <c r="L273" s="12" t="s">
        <v>273</v>
      </c>
    </row>
    <row r="274" spans="1:12" x14ac:dyDescent="0.35">
      <c r="A274" t="s">
        <v>352</v>
      </c>
      <c r="B274" s="10">
        <v>5934</v>
      </c>
      <c r="C274" s="10">
        <v>1563</v>
      </c>
      <c r="D274" s="10">
        <v>2</v>
      </c>
      <c r="E274" s="11" t="s">
        <v>30</v>
      </c>
      <c r="F274" s="11" t="s">
        <v>57</v>
      </c>
      <c r="G274" t="s">
        <v>40</v>
      </c>
      <c r="H274" s="13">
        <v>45541</v>
      </c>
      <c r="I274" s="14" t="s">
        <v>353</v>
      </c>
      <c r="J274" t="s">
        <v>21</v>
      </c>
      <c r="K274" t="s">
        <v>172</v>
      </c>
      <c r="L274" s="12" t="s">
        <v>159</v>
      </c>
    </row>
    <row r="275" spans="1:12" x14ac:dyDescent="0.35">
      <c r="A275" t="s">
        <v>354</v>
      </c>
      <c r="B275" s="10">
        <v>2701</v>
      </c>
      <c r="C275" s="10">
        <v>322</v>
      </c>
      <c r="D275" s="10">
        <v>11</v>
      </c>
      <c r="E275" s="11" t="s">
        <v>13</v>
      </c>
      <c r="F275" s="11" t="s">
        <v>28</v>
      </c>
      <c r="G275" t="s">
        <v>15</v>
      </c>
      <c r="H275" s="13">
        <v>44730</v>
      </c>
      <c r="I275" s="14" t="s">
        <v>355</v>
      </c>
      <c r="J275" t="s">
        <v>25</v>
      </c>
      <c r="K275" t="s">
        <v>51</v>
      </c>
      <c r="L275" s="12" t="s">
        <v>165</v>
      </c>
    </row>
    <row r="276" spans="1:12" x14ac:dyDescent="0.35">
      <c r="A276" t="s">
        <v>354</v>
      </c>
      <c r="B276" s="10">
        <v>7273</v>
      </c>
      <c r="C276" s="10">
        <v>2702</v>
      </c>
      <c r="D276" s="10">
        <v>18</v>
      </c>
      <c r="E276" s="11" t="s">
        <v>30</v>
      </c>
      <c r="F276" s="11" t="s">
        <v>64</v>
      </c>
      <c r="G276" t="s">
        <v>65</v>
      </c>
      <c r="H276" s="13">
        <v>44730</v>
      </c>
      <c r="I276" s="14" t="s">
        <v>355</v>
      </c>
      <c r="J276" t="s">
        <v>25</v>
      </c>
      <c r="K276" t="s">
        <v>51</v>
      </c>
      <c r="L276" s="12" t="s">
        <v>165</v>
      </c>
    </row>
    <row r="277" spans="1:12" x14ac:dyDescent="0.35">
      <c r="A277" t="s">
        <v>356</v>
      </c>
      <c r="B277" s="10">
        <v>2465</v>
      </c>
      <c r="C277" s="10">
        <v>699</v>
      </c>
      <c r="D277" s="10">
        <v>18</v>
      </c>
      <c r="E277" s="11" t="s">
        <v>30</v>
      </c>
      <c r="F277" s="11" t="s">
        <v>57</v>
      </c>
      <c r="G277" t="s">
        <v>32</v>
      </c>
      <c r="H277" s="13">
        <v>43973</v>
      </c>
      <c r="I277" s="14" t="s">
        <v>357</v>
      </c>
      <c r="J277" t="s">
        <v>42</v>
      </c>
      <c r="K277" t="s">
        <v>92</v>
      </c>
      <c r="L277" s="12" t="s">
        <v>59</v>
      </c>
    </row>
    <row r="278" spans="1:12" x14ac:dyDescent="0.35">
      <c r="A278" t="s">
        <v>358</v>
      </c>
      <c r="B278" s="10">
        <v>3479</v>
      </c>
      <c r="C278" s="10">
        <v>1087</v>
      </c>
      <c r="D278" s="10">
        <v>2</v>
      </c>
      <c r="E278" s="11" t="s">
        <v>30</v>
      </c>
      <c r="F278" s="11" t="s">
        <v>57</v>
      </c>
      <c r="G278" t="s">
        <v>40</v>
      </c>
      <c r="H278" s="13">
        <v>45582</v>
      </c>
      <c r="I278" s="14" t="s">
        <v>359</v>
      </c>
      <c r="J278" t="s">
        <v>71</v>
      </c>
      <c r="K278" t="s">
        <v>72</v>
      </c>
      <c r="L278" s="12" t="s">
        <v>360</v>
      </c>
    </row>
    <row r="279" spans="1:12" x14ac:dyDescent="0.35">
      <c r="A279" t="s">
        <v>358</v>
      </c>
      <c r="B279" s="10">
        <v>5457</v>
      </c>
      <c r="C279" s="10">
        <v>1765</v>
      </c>
      <c r="D279" s="10">
        <v>7</v>
      </c>
      <c r="E279" s="11" t="s">
        <v>13</v>
      </c>
      <c r="F279" s="11" t="s">
        <v>28</v>
      </c>
      <c r="G279" t="s">
        <v>40</v>
      </c>
      <c r="H279" s="13">
        <v>45582</v>
      </c>
      <c r="I279" s="14" t="s">
        <v>359</v>
      </c>
      <c r="J279" t="s">
        <v>71</v>
      </c>
      <c r="K279" t="s">
        <v>72</v>
      </c>
      <c r="L279" s="12" t="s">
        <v>360</v>
      </c>
    </row>
    <row r="280" spans="1:12" x14ac:dyDescent="0.35">
      <c r="A280" t="s">
        <v>361</v>
      </c>
      <c r="B280" s="10">
        <v>4957</v>
      </c>
      <c r="C280" s="10">
        <v>1152</v>
      </c>
      <c r="D280" s="10">
        <v>8</v>
      </c>
      <c r="E280" s="11" t="s">
        <v>30</v>
      </c>
      <c r="F280" s="11" t="s">
        <v>57</v>
      </c>
      <c r="G280" t="s">
        <v>47</v>
      </c>
      <c r="H280" s="13">
        <v>44642</v>
      </c>
      <c r="I280" s="14" t="s">
        <v>362</v>
      </c>
      <c r="J280" t="s">
        <v>98</v>
      </c>
      <c r="K280" t="s">
        <v>117</v>
      </c>
      <c r="L280" s="12" t="s">
        <v>134</v>
      </c>
    </row>
    <row r="281" spans="1:12" x14ac:dyDescent="0.35">
      <c r="A281" t="s">
        <v>363</v>
      </c>
      <c r="B281" s="10">
        <v>4404</v>
      </c>
      <c r="C281" s="10">
        <v>858</v>
      </c>
      <c r="D281" s="10">
        <v>17</v>
      </c>
      <c r="E281" s="11" t="s">
        <v>30</v>
      </c>
      <c r="F281" s="11" t="s">
        <v>31</v>
      </c>
      <c r="G281" t="s">
        <v>32</v>
      </c>
      <c r="H281" s="13">
        <v>45368</v>
      </c>
      <c r="I281" s="14" t="s">
        <v>364</v>
      </c>
      <c r="J281" t="s">
        <v>98</v>
      </c>
      <c r="K281" t="s">
        <v>99</v>
      </c>
      <c r="L281" s="12" t="s">
        <v>338</v>
      </c>
    </row>
    <row r="282" spans="1:12" x14ac:dyDescent="0.35">
      <c r="A282" t="s">
        <v>363</v>
      </c>
      <c r="B282" s="10">
        <v>8776</v>
      </c>
      <c r="C282" s="10">
        <v>2529</v>
      </c>
      <c r="D282" s="10">
        <v>15</v>
      </c>
      <c r="E282" s="11" t="s">
        <v>45</v>
      </c>
      <c r="F282" s="11" t="s">
        <v>60</v>
      </c>
      <c r="G282" t="s">
        <v>47</v>
      </c>
      <c r="H282" s="13">
        <v>45368</v>
      </c>
      <c r="I282" s="14" t="s">
        <v>364</v>
      </c>
      <c r="J282" t="s">
        <v>98</v>
      </c>
      <c r="K282" t="s">
        <v>99</v>
      </c>
      <c r="L282" s="12" t="s">
        <v>338</v>
      </c>
    </row>
    <row r="283" spans="1:12" x14ac:dyDescent="0.35">
      <c r="A283" t="s">
        <v>365</v>
      </c>
      <c r="B283" s="10">
        <v>9536</v>
      </c>
      <c r="C283" s="10">
        <v>1437</v>
      </c>
      <c r="D283" s="10">
        <v>9</v>
      </c>
      <c r="E283" s="11" t="s">
        <v>13</v>
      </c>
      <c r="F283" s="11" t="s">
        <v>82</v>
      </c>
      <c r="G283" t="s">
        <v>15</v>
      </c>
      <c r="H283" s="13">
        <v>43923</v>
      </c>
      <c r="I283" s="14" t="s">
        <v>366</v>
      </c>
      <c r="J283" t="s">
        <v>17</v>
      </c>
      <c r="K283" t="s">
        <v>34</v>
      </c>
      <c r="L283" s="12" t="s">
        <v>162</v>
      </c>
    </row>
    <row r="284" spans="1:12" x14ac:dyDescent="0.35">
      <c r="A284" t="s">
        <v>365</v>
      </c>
      <c r="B284" s="10">
        <v>2225</v>
      </c>
      <c r="C284" s="10">
        <v>589</v>
      </c>
      <c r="D284" s="10">
        <v>7</v>
      </c>
      <c r="E284" s="11" t="s">
        <v>45</v>
      </c>
      <c r="F284" s="11" t="s">
        <v>60</v>
      </c>
      <c r="G284" t="s">
        <v>47</v>
      </c>
      <c r="H284" s="13">
        <v>43923</v>
      </c>
      <c r="I284" s="14" t="s">
        <v>366</v>
      </c>
      <c r="J284" t="s">
        <v>17</v>
      </c>
      <c r="K284" t="s">
        <v>34</v>
      </c>
      <c r="L284" s="12" t="s">
        <v>162</v>
      </c>
    </row>
    <row r="285" spans="1:12" x14ac:dyDescent="0.35">
      <c r="A285" t="s">
        <v>367</v>
      </c>
      <c r="B285" s="10">
        <v>9574</v>
      </c>
      <c r="C285" s="10">
        <v>4045</v>
      </c>
      <c r="D285" s="10">
        <v>19</v>
      </c>
      <c r="E285" s="11" t="s">
        <v>45</v>
      </c>
      <c r="F285" s="11" t="s">
        <v>109</v>
      </c>
      <c r="G285" t="s">
        <v>15</v>
      </c>
      <c r="H285" s="13">
        <v>45364</v>
      </c>
      <c r="I285" s="14" t="s">
        <v>368</v>
      </c>
      <c r="J285" t="s">
        <v>42</v>
      </c>
      <c r="K285" t="s">
        <v>92</v>
      </c>
      <c r="L285" s="12" t="s">
        <v>338</v>
      </c>
    </row>
    <row r="286" spans="1:12" x14ac:dyDescent="0.35">
      <c r="A286" t="s">
        <v>367</v>
      </c>
      <c r="B286" s="10">
        <v>4382</v>
      </c>
      <c r="C286" s="10">
        <v>482</v>
      </c>
      <c r="D286" s="10">
        <v>17</v>
      </c>
      <c r="E286" s="11" t="s">
        <v>13</v>
      </c>
      <c r="F286" s="11" t="s">
        <v>14</v>
      </c>
      <c r="G286" t="s">
        <v>65</v>
      </c>
      <c r="H286" s="13">
        <v>45364</v>
      </c>
      <c r="I286" s="14" t="s">
        <v>368</v>
      </c>
      <c r="J286" t="s">
        <v>42</v>
      </c>
      <c r="K286" t="s">
        <v>92</v>
      </c>
      <c r="L286" s="12" t="s">
        <v>338</v>
      </c>
    </row>
    <row r="287" spans="1:12" x14ac:dyDescent="0.35">
      <c r="A287" t="s">
        <v>369</v>
      </c>
      <c r="B287" s="10">
        <v>8200</v>
      </c>
      <c r="C287" s="10">
        <v>257</v>
      </c>
      <c r="D287" s="10">
        <v>19</v>
      </c>
      <c r="E287" s="11" t="s">
        <v>13</v>
      </c>
      <c r="F287" s="11" t="s">
        <v>39</v>
      </c>
      <c r="G287" t="s">
        <v>65</v>
      </c>
      <c r="H287" s="13">
        <v>45006</v>
      </c>
      <c r="I287" s="14" t="s">
        <v>370</v>
      </c>
      <c r="J287" t="s">
        <v>98</v>
      </c>
      <c r="K287" t="s">
        <v>107</v>
      </c>
      <c r="L287" s="12" t="s">
        <v>245</v>
      </c>
    </row>
    <row r="288" spans="1:12" x14ac:dyDescent="0.35">
      <c r="A288" t="s">
        <v>369</v>
      </c>
      <c r="B288" s="10">
        <v>9316</v>
      </c>
      <c r="C288" s="10">
        <v>3003</v>
      </c>
      <c r="D288" s="10">
        <v>13</v>
      </c>
      <c r="E288" s="11" t="s">
        <v>45</v>
      </c>
      <c r="F288" s="11" t="s">
        <v>60</v>
      </c>
      <c r="G288" t="s">
        <v>47</v>
      </c>
      <c r="H288" s="13">
        <v>45006</v>
      </c>
      <c r="I288" s="14" t="s">
        <v>370</v>
      </c>
      <c r="J288" t="s">
        <v>98</v>
      </c>
      <c r="K288" t="s">
        <v>107</v>
      </c>
      <c r="L288" s="12" t="s">
        <v>245</v>
      </c>
    </row>
    <row r="289" spans="1:12" x14ac:dyDescent="0.35">
      <c r="A289" t="s">
        <v>369</v>
      </c>
      <c r="B289" s="10">
        <v>6379</v>
      </c>
      <c r="C289" s="10">
        <v>3128</v>
      </c>
      <c r="D289" s="10">
        <v>15</v>
      </c>
      <c r="E289" s="11" t="s">
        <v>13</v>
      </c>
      <c r="F289" s="11" t="s">
        <v>14</v>
      </c>
      <c r="G289" t="s">
        <v>65</v>
      </c>
      <c r="H289" s="13">
        <v>45006</v>
      </c>
      <c r="I289" s="14" t="s">
        <v>370</v>
      </c>
      <c r="J289" t="s">
        <v>98</v>
      </c>
      <c r="K289" t="s">
        <v>107</v>
      </c>
      <c r="L289" s="12" t="s">
        <v>245</v>
      </c>
    </row>
    <row r="290" spans="1:12" x14ac:dyDescent="0.35">
      <c r="A290" t="s">
        <v>371</v>
      </c>
      <c r="B290" s="10">
        <v>3348</v>
      </c>
      <c r="C290" s="10">
        <v>568</v>
      </c>
      <c r="D290" s="10">
        <v>5</v>
      </c>
      <c r="E290" s="11" t="s">
        <v>30</v>
      </c>
      <c r="F290" s="11" t="s">
        <v>57</v>
      </c>
      <c r="G290" t="s">
        <v>47</v>
      </c>
      <c r="H290" s="13">
        <v>45353</v>
      </c>
      <c r="I290" s="14" t="s">
        <v>372</v>
      </c>
      <c r="J290" t="s">
        <v>98</v>
      </c>
      <c r="K290" t="s">
        <v>117</v>
      </c>
      <c r="L290" s="12" t="s">
        <v>338</v>
      </c>
    </row>
    <row r="291" spans="1:12" x14ac:dyDescent="0.35">
      <c r="A291" t="s">
        <v>371</v>
      </c>
      <c r="B291" s="10">
        <v>3348</v>
      </c>
      <c r="C291" s="10">
        <v>568</v>
      </c>
      <c r="D291" s="10">
        <v>5</v>
      </c>
      <c r="E291" s="11" t="s">
        <v>30</v>
      </c>
      <c r="F291" s="11" t="s">
        <v>57</v>
      </c>
      <c r="G291" t="s">
        <v>47</v>
      </c>
      <c r="H291" s="13">
        <v>44316</v>
      </c>
      <c r="I291" s="14" t="s">
        <v>373</v>
      </c>
      <c r="J291" t="s">
        <v>25</v>
      </c>
      <c r="K291" t="s">
        <v>68</v>
      </c>
      <c r="L291" s="12" t="s">
        <v>139</v>
      </c>
    </row>
    <row r="292" spans="1:12" x14ac:dyDescent="0.35">
      <c r="A292" t="s">
        <v>371</v>
      </c>
      <c r="B292" s="10">
        <v>8856</v>
      </c>
      <c r="C292" s="10">
        <v>2020</v>
      </c>
      <c r="D292" s="10">
        <v>9</v>
      </c>
      <c r="E292" s="11" t="s">
        <v>30</v>
      </c>
      <c r="F292" s="11" t="s">
        <v>31</v>
      </c>
      <c r="G292" t="s">
        <v>32</v>
      </c>
      <c r="H292" s="13">
        <v>45353</v>
      </c>
      <c r="I292" s="14" t="s">
        <v>372</v>
      </c>
      <c r="J292" t="s">
        <v>98</v>
      </c>
      <c r="K292" t="s">
        <v>117</v>
      </c>
      <c r="L292" s="12" t="s">
        <v>338</v>
      </c>
    </row>
    <row r="293" spans="1:12" x14ac:dyDescent="0.35">
      <c r="A293" t="s">
        <v>371</v>
      </c>
      <c r="B293" s="10">
        <v>8856</v>
      </c>
      <c r="C293" s="10">
        <v>2020</v>
      </c>
      <c r="D293" s="10">
        <v>9</v>
      </c>
      <c r="E293" s="11" t="s">
        <v>30</v>
      </c>
      <c r="F293" s="11" t="s">
        <v>31</v>
      </c>
      <c r="G293" t="s">
        <v>32</v>
      </c>
      <c r="H293" s="13">
        <v>44316</v>
      </c>
      <c r="I293" s="14" t="s">
        <v>373</v>
      </c>
      <c r="J293" t="s">
        <v>25</v>
      </c>
      <c r="K293" t="s">
        <v>68</v>
      </c>
      <c r="L293" s="12" t="s">
        <v>139</v>
      </c>
    </row>
    <row r="294" spans="1:12" x14ac:dyDescent="0.35">
      <c r="A294" t="s">
        <v>374</v>
      </c>
      <c r="B294" s="10">
        <v>1760</v>
      </c>
      <c r="C294" s="10">
        <v>619</v>
      </c>
      <c r="D294" s="10">
        <v>16</v>
      </c>
      <c r="E294" s="11" t="s">
        <v>45</v>
      </c>
      <c r="F294" s="11" t="s">
        <v>60</v>
      </c>
      <c r="G294" t="s">
        <v>32</v>
      </c>
      <c r="H294" s="13">
        <v>44454</v>
      </c>
      <c r="I294" s="14" t="s">
        <v>375</v>
      </c>
      <c r="J294" t="s">
        <v>98</v>
      </c>
      <c r="K294" t="s">
        <v>99</v>
      </c>
      <c r="L294" s="12" t="s">
        <v>224</v>
      </c>
    </row>
    <row r="295" spans="1:12" x14ac:dyDescent="0.35">
      <c r="A295" t="s">
        <v>374</v>
      </c>
      <c r="B295" s="10">
        <v>1760</v>
      </c>
      <c r="C295" s="10">
        <v>619</v>
      </c>
      <c r="D295" s="10">
        <v>16</v>
      </c>
      <c r="E295" s="11" t="s">
        <v>45</v>
      </c>
      <c r="F295" s="11" t="s">
        <v>60</v>
      </c>
      <c r="G295" t="s">
        <v>32</v>
      </c>
      <c r="H295" s="13">
        <v>44954</v>
      </c>
      <c r="I295" s="14" t="s">
        <v>376</v>
      </c>
      <c r="J295" t="s">
        <v>71</v>
      </c>
      <c r="K295" t="s">
        <v>138</v>
      </c>
      <c r="L295" s="12" t="s">
        <v>333</v>
      </c>
    </row>
    <row r="296" spans="1:12" x14ac:dyDescent="0.35">
      <c r="A296" t="s">
        <v>374</v>
      </c>
      <c r="B296" s="10">
        <v>6351</v>
      </c>
      <c r="C296" s="10">
        <v>986</v>
      </c>
      <c r="D296" s="10">
        <v>15</v>
      </c>
      <c r="E296" s="11" t="s">
        <v>13</v>
      </c>
      <c r="F296" s="11" t="s">
        <v>28</v>
      </c>
      <c r="G296" t="s">
        <v>15</v>
      </c>
      <c r="H296" s="13">
        <v>44454</v>
      </c>
      <c r="I296" s="14" t="s">
        <v>375</v>
      </c>
      <c r="J296" t="s">
        <v>98</v>
      </c>
      <c r="K296" t="s">
        <v>99</v>
      </c>
      <c r="L296" s="12" t="s">
        <v>224</v>
      </c>
    </row>
    <row r="297" spans="1:12" x14ac:dyDescent="0.35">
      <c r="A297" t="s">
        <v>374</v>
      </c>
      <c r="B297" s="10">
        <v>6351</v>
      </c>
      <c r="C297" s="10">
        <v>986</v>
      </c>
      <c r="D297" s="10">
        <v>15</v>
      </c>
      <c r="E297" s="11" t="s">
        <v>13</v>
      </c>
      <c r="F297" s="11" t="s">
        <v>28</v>
      </c>
      <c r="G297" t="s">
        <v>15</v>
      </c>
      <c r="H297" s="13">
        <v>44954</v>
      </c>
      <c r="I297" s="14" t="s">
        <v>376</v>
      </c>
      <c r="J297" t="s">
        <v>71</v>
      </c>
      <c r="K297" t="s">
        <v>138</v>
      </c>
      <c r="L297" s="12" t="s">
        <v>333</v>
      </c>
    </row>
    <row r="298" spans="1:12" x14ac:dyDescent="0.35">
      <c r="A298" t="s">
        <v>377</v>
      </c>
      <c r="B298" s="10">
        <v>869</v>
      </c>
      <c r="C298" s="10">
        <v>373</v>
      </c>
      <c r="D298" s="10">
        <v>14</v>
      </c>
      <c r="E298" s="11" t="s">
        <v>30</v>
      </c>
      <c r="F298" s="11" t="s">
        <v>64</v>
      </c>
      <c r="G298" t="s">
        <v>47</v>
      </c>
      <c r="H298" s="13">
        <v>44385</v>
      </c>
      <c r="I298" s="14" t="s">
        <v>378</v>
      </c>
      <c r="J298" t="s">
        <v>25</v>
      </c>
      <c r="K298" t="s">
        <v>51</v>
      </c>
      <c r="L298" s="12" t="s">
        <v>27</v>
      </c>
    </row>
    <row r="299" spans="1:12" x14ac:dyDescent="0.35">
      <c r="A299" t="s">
        <v>377</v>
      </c>
      <c r="B299" s="10">
        <v>869</v>
      </c>
      <c r="C299" s="10">
        <v>373</v>
      </c>
      <c r="D299" s="10">
        <v>14</v>
      </c>
      <c r="E299" s="11" t="s">
        <v>30</v>
      </c>
      <c r="F299" s="11" t="s">
        <v>64</v>
      </c>
      <c r="G299" t="s">
        <v>47</v>
      </c>
      <c r="H299" s="13">
        <v>43929</v>
      </c>
      <c r="I299" s="14" t="s">
        <v>379</v>
      </c>
      <c r="J299" t="s">
        <v>98</v>
      </c>
      <c r="K299" t="s">
        <v>117</v>
      </c>
      <c r="L299" s="12" t="s">
        <v>162</v>
      </c>
    </row>
    <row r="300" spans="1:12" x14ac:dyDescent="0.35">
      <c r="A300" t="s">
        <v>377</v>
      </c>
      <c r="B300" s="10">
        <v>1486</v>
      </c>
      <c r="C300" s="10">
        <v>114</v>
      </c>
      <c r="D300" s="10">
        <v>7</v>
      </c>
      <c r="E300" s="11" t="s">
        <v>45</v>
      </c>
      <c r="F300" s="11" t="s">
        <v>109</v>
      </c>
      <c r="G300" t="s">
        <v>15</v>
      </c>
      <c r="H300" s="13">
        <v>44385</v>
      </c>
      <c r="I300" s="14" t="s">
        <v>378</v>
      </c>
      <c r="J300" t="s">
        <v>25</v>
      </c>
      <c r="K300" t="s">
        <v>51</v>
      </c>
      <c r="L300" s="12" t="s">
        <v>27</v>
      </c>
    </row>
    <row r="301" spans="1:12" x14ac:dyDescent="0.35">
      <c r="A301" t="s">
        <v>377</v>
      </c>
      <c r="B301" s="10">
        <v>1486</v>
      </c>
      <c r="C301" s="10">
        <v>114</v>
      </c>
      <c r="D301" s="10">
        <v>7</v>
      </c>
      <c r="E301" s="11" t="s">
        <v>45</v>
      </c>
      <c r="F301" s="11" t="s">
        <v>109</v>
      </c>
      <c r="G301" t="s">
        <v>15</v>
      </c>
      <c r="H301" s="13">
        <v>43929</v>
      </c>
      <c r="I301" s="14" t="s">
        <v>379</v>
      </c>
      <c r="J301" t="s">
        <v>98</v>
      </c>
      <c r="K301" t="s">
        <v>117</v>
      </c>
      <c r="L301" s="12" t="s">
        <v>162</v>
      </c>
    </row>
    <row r="302" spans="1:12" x14ac:dyDescent="0.35">
      <c r="A302" t="s">
        <v>380</v>
      </c>
      <c r="B302" s="10">
        <v>2999</v>
      </c>
      <c r="C302" s="10">
        <v>145</v>
      </c>
      <c r="D302" s="10">
        <v>13</v>
      </c>
      <c r="E302" s="11" t="s">
        <v>30</v>
      </c>
      <c r="F302" s="11" t="s">
        <v>78</v>
      </c>
      <c r="G302" t="s">
        <v>65</v>
      </c>
      <c r="H302" s="13">
        <v>44796</v>
      </c>
      <c r="I302" s="14" t="s">
        <v>381</v>
      </c>
      <c r="J302" t="s">
        <v>21</v>
      </c>
      <c r="K302" t="s">
        <v>22</v>
      </c>
      <c r="L302" s="12" t="s">
        <v>209</v>
      </c>
    </row>
    <row r="303" spans="1:12" x14ac:dyDescent="0.35">
      <c r="A303" t="s">
        <v>380</v>
      </c>
      <c r="B303" s="10">
        <v>5142</v>
      </c>
      <c r="C303" s="10">
        <v>1916</v>
      </c>
      <c r="D303" s="10">
        <v>20</v>
      </c>
      <c r="E303" s="11" t="s">
        <v>30</v>
      </c>
      <c r="F303" s="11" t="s">
        <v>64</v>
      </c>
      <c r="G303" t="s">
        <v>40</v>
      </c>
      <c r="H303" s="13">
        <v>44796</v>
      </c>
      <c r="I303" s="14" t="s">
        <v>381</v>
      </c>
      <c r="J303" t="s">
        <v>21</v>
      </c>
      <c r="K303" t="s">
        <v>22</v>
      </c>
      <c r="L303" s="12" t="s">
        <v>209</v>
      </c>
    </row>
    <row r="304" spans="1:12" x14ac:dyDescent="0.35">
      <c r="A304" t="s">
        <v>382</v>
      </c>
      <c r="B304" s="10">
        <v>1239</v>
      </c>
      <c r="C304" s="10">
        <v>575</v>
      </c>
      <c r="D304" s="10">
        <v>17</v>
      </c>
      <c r="E304" s="11" t="s">
        <v>13</v>
      </c>
      <c r="F304" s="11" t="s">
        <v>39</v>
      </c>
      <c r="G304" t="s">
        <v>15</v>
      </c>
      <c r="H304" s="13">
        <v>44912</v>
      </c>
      <c r="I304" s="14" t="s">
        <v>383</v>
      </c>
      <c r="J304" t="s">
        <v>25</v>
      </c>
      <c r="K304" t="s">
        <v>68</v>
      </c>
      <c r="L304" s="12" t="s">
        <v>152</v>
      </c>
    </row>
    <row r="305" spans="1:12" x14ac:dyDescent="0.35">
      <c r="A305" t="s">
        <v>382</v>
      </c>
      <c r="B305" s="10">
        <v>1239</v>
      </c>
      <c r="C305" s="10">
        <v>575</v>
      </c>
      <c r="D305" s="10">
        <v>17</v>
      </c>
      <c r="E305" s="11" t="s">
        <v>13</v>
      </c>
      <c r="F305" s="11" t="s">
        <v>39</v>
      </c>
      <c r="G305" t="s">
        <v>15</v>
      </c>
      <c r="H305" s="13">
        <v>44720</v>
      </c>
      <c r="I305" s="14" t="s">
        <v>384</v>
      </c>
      <c r="J305" t="s">
        <v>21</v>
      </c>
      <c r="K305" t="s">
        <v>63</v>
      </c>
      <c r="L305" s="12" t="s">
        <v>165</v>
      </c>
    </row>
    <row r="306" spans="1:12" x14ac:dyDescent="0.35">
      <c r="A306" t="s">
        <v>382</v>
      </c>
      <c r="B306" s="10">
        <v>1262</v>
      </c>
      <c r="C306" s="10">
        <v>515</v>
      </c>
      <c r="D306" s="10">
        <v>16</v>
      </c>
      <c r="E306" s="11" t="s">
        <v>13</v>
      </c>
      <c r="F306" s="11" t="s">
        <v>14</v>
      </c>
      <c r="G306" t="s">
        <v>40</v>
      </c>
      <c r="H306" s="13">
        <v>44912</v>
      </c>
      <c r="I306" s="14" t="s">
        <v>383</v>
      </c>
      <c r="J306" t="s">
        <v>25</v>
      </c>
      <c r="K306" t="s">
        <v>68</v>
      </c>
      <c r="L306" s="12" t="s">
        <v>152</v>
      </c>
    </row>
    <row r="307" spans="1:12" x14ac:dyDescent="0.35">
      <c r="A307" t="s">
        <v>382</v>
      </c>
      <c r="B307" s="10">
        <v>1262</v>
      </c>
      <c r="C307" s="10">
        <v>515</v>
      </c>
      <c r="D307" s="10">
        <v>16</v>
      </c>
      <c r="E307" s="11" t="s">
        <v>13</v>
      </c>
      <c r="F307" s="11" t="s">
        <v>14</v>
      </c>
      <c r="G307" t="s">
        <v>40</v>
      </c>
      <c r="H307" s="13">
        <v>44720</v>
      </c>
      <c r="I307" s="14" t="s">
        <v>384</v>
      </c>
      <c r="J307" t="s">
        <v>21</v>
      </c>
      <c r="K307" t="s">
        <v>63</v>
      </c>
      <c r="L307" s="12" t="s">
        <v>165</v>
      </c>
    </row>
    <row r="308" spans="1:12" x14ac:dyDescent="0.35">
      <c r="A308" t="s">
        <v>385</v>
      </c>
      <c r="B308" s="10">
        <v>1033</v>
      </c>
      <c r="C308" s="10">
        <v>254</v>
      </c>
      <c r="D308" s="10">
        <v>5</v>
      </c>
      <c r="E308" s="11" t="s">
        <v>45</v>
      </c>
      <c r="F308" s="11" t="s">
        <v>109</v>
      </c>
      <c r="G308" t="s">
        <v>65</v>
      </c>
      <c r="H308" s="13">
        <v>44071</v>
      </c>
      <c r="I308" s="14" t="s">
        <v>386</v>
      </c>
      <c r="J308" t="s">
        <v>25</v>
      </c>
      <c r="K308" t="s">
        <v>68</v>
      </c>
      <c r="L308" s="12" t="s">
        <v>185</v>
      </c>
    </row>
    <row r="309" spans="1:12" x14ac:dyDescent="0.35">
      <c r="A309" t="s">
        <v>387</v>
      </c>
      <c r="B309" s="10">
        <v>1518</v>
      </c>
      <c r="C309" s="10">
        <v>159</v>
      </c>
      <c r="D309" s="10">
        <v>19</v>
      </c>
      <c r="E309" s="11" t="s">
        <v>13</v>
      </c>
      <c r="F309" s="11" t="s">
        <v>28</v>
      </c>
      <c r="G309" t="s">
        <v>15</v>
      </c>
      <c r="H309" s="13">
        <v>44100</v>
      </c>
      <c r="I309" s="14" t="s">
        <v>388</v>
      </c>
      <c r="J309" t="s">
        <v>42</v>
      </c>
      <c r="K309" t="s">
        <v>75</v>
      </c>
      <c r="L309" s="12" t="s">
        <v>389</v>
      </c>
    </row>
    <row r="310" spans="1:12" x14ac:dyDescent="0.35">
      <c r="A310" t="s">
        <v>390</v>
      </c>
      <c r="B310" s="10">
        <v>8581</v>
      </c>
      <c r="C310" s="10">
        <v>2444</v>
      </c>
      <c r="D310" s="10">
        <v>2</v>
      </c>
      <c r="E310" s="11" t="s">
        <v>30</v>
      </c>
      <c r="F310" s="11" t="s">
        <v>64</v>
      </c>
      <c r="G310" t="s">
        <v>32</v>
      </c>
      <c r="H310" s="13">
        <v>44178</v>
      </c>
      <c r="I310" s="14" t="s">
        <v>391</v>
      </c>
      <c r="J310" t="s">
        <v>21</v>
      </c>
      <c r="K310" t="s">
        <v>172</v>
      </c>
      <c r="L310" s="12" t="s">
        <v>287</v>
      </c>
    </row>
    <row r="311" spans="1:12" x14ac:dyDescent="0.35">
      <c r="A311" t="s">
        <v>390</v>
      </c>
      <c r="B311" s="10">
        <v>8581</v>
      </c>
      <c r="C311" s="10">
        <v>2444</v>
      </c>
      <c r="D311" s="10">
        <v>2</v>
      </c>
      <c r="E311" s="11" t="s">
        <v>30</v>
      </c>
      <c r="F311" s="11" t="s">
        <v>64</v>
      </c>
      <c r="G311" t="s">
        <v>32</v>
      </c>
      <c r="H311" s="13">
        <v>44154</v>
      </c>
      <c r="I311" s="14" t="s">
        <v>392</v>
      </c>
      <c r="J311" t="s">
        <v>17</v>
      </c>
      <c r="K311" t="s">
        <v>34</v>
      </c>
      <c r="L311" s="12" t="s">
        <v>80</v>
      </c>
    </row>
    <row r="312" spans="1:12" x14ac:dyDescent="0.35">
      <c r="A312" t="s">
        <v>393</v>
      </c>
      <c r="B312" s="10">
        <v>1167</v>
      </c>
      <c r="C312" s="10">
        <v>463</v>
      </c>
      <c r="D312" s="10">
        <v>5</v>
      </c>
      <c r="E312" s="11" t="s">
        <v>30</v>
      </c>
      <c r="F312" s="11" t="s">
        <v>31</v>
      </c>
      <c r="G312" t="s">
        <v>15</v>
      </c>
      <c r="H312" s="13">
        <v>45182</v>
      </c>
      <c r="I312" s="14" t="s">
        <v>394</v>
      </c>
      <c r="J312" t="s">
        <v>71</v>
      </c>
      <c r="K312" t="s">
        <v>86</v>
      </c>
      <c r="L312" s="12" t="s">
        <v>273</v>
      </c>
    </row>
    <row r="313" spans="1:12" x14ac:dyDescent="0.35">
      <c r="A313" t="s">
        <v>393</v>
      </c>
      <c r="B313" s="10">
        <v>2841</v>
      </c>
      <c r="C313" s="10">
        <v>803</v>
      </c>
      <c r="D313" s="10">
        <v>20</v>
      </c>
      <c r="E313" s="11" t="s">
        <v>13</v>
      </c>
      <c r="F313" s="11" t="s">
        <v>39</v>
      </c>
      <c r="G313" t="s">
        <v>47</v>
      </c>
      <c r="H313" s="13">
        <v>45182</v>
      </c>
      <c r="I313" s="14" t="s">
        <v>394</v>
      </c>
      <c r="J313" t="s">
        <v>71</v>
      </c>
      <c r="K313" t="s">
        <v>86</v>
      </c>
      <c r="L313" s="12" t="s">
        <v>273</v>
      </c>
    </row>
    <row r="314" spans="1:12" x14ac:dyDescent="0.35">
      <c r="A314" t="s">
        <v>393</v>
      </c>
      <c r="B314" s="10">
        <v>5680</v>
      </c>
      <c r="C314" s="10">
        <v>2159</v>
      </c>
      <c r="D314" s="10">
        <v>19</v>
      </c>
      <c r="E314" s="11" t="s">
        <v>45</v>
      </c>
      <c r="F314" s="11" t="s">
        <v>46</v>
      </c>
      <c r="G314" t="s">
        <v>15</v>
      </c>
      <c r="H314" s="13">
        <v>45182</v>
      </c>
      <c r="I314" s="14" t="s">
        <v>394</v>
      </c>
      <c r="J314" t="s">
        <v>71</v>
      </c>
      <c r="K314" t="s">
        <v>86</v>
      </c>
      <c r="L314" s="12" t="s">
        <v>273</v>
      </c>
    </row>
    <row r="315" spans="1:12" x14ac:dyDescent="0.35">
      <c r="A315" t="s">
        <v>395</v>
      </c>
      <c r="B315" s="10">
        <v>8204</v>
      </c>
      <c r="C315" s="10">
        <v>2382</v>
      </c>
      <c r="D315" s="10">
        <v>6</v>
      </c>
      <c r="E315" s="11" t="s">
        <v>30</v>
      </c>
      <c r="F315" s="11" t="s">
        <v>31</v>
      </c>
      <c r="G315" t="s">
        <v>15</v>
      </c>
      <c r="H315" s="13">
        <v>43921</v>
      </c>
      <c r="I315" s="14" t="s">
        <v>396</v>
      </c>
      <c r="J315" t="s">
        <v>21</v>
      </c>
      <c r="K315" t="s">
        <v>22</v>
      </c>
      <c r="L315" s="12" t="s">
        <v>55</v>
      </c>
    </row>
    <row r="316" spans="1:12" x14ac:dyDescent="0.35">
      <c r="A316" t="s">
        <v>395</v>
      </c>
      <c r="B316" s="10">
        <v>8204</v>
      </c>
      <c r="C316" s="10">
        <v>2382</v>
      </c>
      <c r="D316" s="10">
        <v>6</v>
      </c>
      <c r="E316" s="11" t="s">
        <v>30</v>
      </c>
      <c r="F316" s="11" t="s">
        <v>31</v>
      </c>
      <c r="G316" t="s">
        <v>15</v>
      </c>
      <c r="H316" s="13">
        <v>44124</v>
      </c>
      <c r="I316" s="14" t="s">
        <v>397</v>
      </c>
      <c r="J316" t="s">
        <v>25</v>
      </c>
      <c r="K316" t="s">
        <v>26</v>
      </c>
      <c r="L316" s="12" t="s">
        <v>119</v>
      </c>
    </row>
    <row r="317" spans="1:12" x14ac:dyDescent="0.35">
      <c r="A317" t="s">
        <v>395</v>
      </c>
      <c r="B317" s="10">
        <v>2850</v>
      </c>
      <c r="C317" s="10">
        <v>904</v>
      </c>
      <c r="D317" s="10">
        <v>6</v>
      </c>
      <c r="E317" s="11" t="s">
        <v>13</v>
      </c>
      <c r="F317" s="11" t="s">
        <v>82</v>
      </c>
      <c r="G317" t="s">
        <v>40</v>
      </c>
      <c r="H317" s="13">
        <v>43921</v>
      </c>
      <c r="I317" s="14" t="s">
        <v>396</v>
      </c>
      <c r="J317" t="s">
        <v>21</v>
      </c>
      <c r="K317" t="s">
        <v>22</v>
      </c>
      <c r="L317" s="12" t="s">
        <v>55</v>
      </c>
    </row>
    <row r="318" spans="1:12" x14ac:dyDescent="0.35">
      <c r="A318" t="s">
        <v>395</v>
      </c>
      <c r="B318" s="10">
        <v>2850</v>
      </c>
      <c r="C318" s="10">
        <v>904</v>
      </c>
      <c r="D318" s="10">
        <v>6</v>
      </c>
      <c r="E318" s="11" t="s">
        <v>13</v>
      </c>
      <c r="F318" s="11" t="s">
        <v>82</v>
      </c>
      <c r="G318" t="s">
        <v>40</v>
      </c>
      <c r="H318" s="13">
        <v>44124</v>
      </c>
      <c r="I318" s="14" t="s">
        <v>397</v>
      </c>
      <c r="J318" t="s">
        <v>25</v>
      </c>
      <c r="K318" t="s">
        <v>26</v>
      </c>
      <c r="L318" s="12" t="s">
        <v>119</v>
      </c>
    </row>
    <row r="319" spans="1:12" x14ac:dyDescent="0.35">
      <c r="A319" t="s">
        <v>398</v>
      </c>
      <c r="B319" s="10">
        <v>907</v>
      </c>
      <c r="C319" s="10">
        <v>391</v>
      </c>
      <c r="D319" s="10">
        <v>9</v>
      </c>
      <c r="E319" s="11" t="s">
        <v>30</v>
      </c>
      <c r="F319" s="11" t="s">
        <v>31</v>
      </c>
      <c r="G319" t="s">
        <v>47</v>
      </c>
      <c r="H319" s="13">
        <v>45142</v>
      </c>
      <c r="I319" s="14" t="s">
        <v>399</v>
      </c>
      <c r="J319" t="s">
        <v>25</v>
      </c>
      <c r="K319" t="s">
        <v>51</v>
      </c>
      <c r="L319" s="12" t="s">
        <v>121</v>
      </c>
    </row>
    <row r="320" spans="1:12" x14ac:dyDescent="0.35">
      <c r="A320" t="s">
        <v>400</v>
      </c>
      <c r="B320" s="10">
        <v>2174</v>
      </c>
      <c r="C320" s="10">
        <v>265</v>
      </c>
      <c r="D320" s="10">
        <v>19</v>
      </c>
      <c r="E320" s="11" t="s">
        <v>30</v>
      </c>
      <c r="F320" s="11" t="s">
        <v>31</v>
      </c>
      <c r="G320" t="s">
        <v>47</v>
      </c>
      <c r="H320" s="13">
        <v>44662</v>
      </c>
      <c r="I320" s="14" t="s">
        <v>401</v>
      </c>
      <c r="J320" t="s">
        <v>98</v>
      </c>
      <c r="K320" t="s">
        <v>107</v>
      </c>
      <c r="L320" s="12" t="s">
        <v>187</v>
      </c>
    </row>
    <row r="321" spans="1:12" x14ac:dyDescent="0.35">
      <c r="A321" t="s">
        <v>400</v>
      </c>
      <c r="B321" s="10">
        <v>8541</v>
      </c>
      <c r="C321" s="10">
        <v>2029</v>
      </c>
      <c r="D321" s="10">
        <v>12</v>
      </c>
      <c r="E321" s="11" t="s">
        <v>13</v>
      </c>
      <c r="F321" s="11" t="s">
        <v>14</v>
      </c>
      <c r="G321" t="s">
        <v>47</v>
      </c>
      <c r="H321" s="13">
        <v>44662</v>
      </c>
      <c r="I321" s="14" t="s">
        <v>401</v>
      </c>
      <c r="J321" t="s">
        <v>98</v>
      </c>
      <c r="K321" t="s">
        <v>107</v>
      </c>
      <c r="L321" s="12" t="s">
        <v>187</v>
      </c>
    </row>
    <row r="322" spans="1:12" x14ac:dyDescent="0.35">
      <c r="A322" t="s">
        <v>400</v>
      </c>
      <c r="B322" s="10">
        <v>1931</v>
      </c>
      <c r="C322" s="10">
        <v>551</v>
      </c>
      <c r="D322" s="10">
        <v>3</v>
      </c>
      <c r="E322" s="11" t="s">
        <v>45</v>
      </c>
      <c r="F322" s="11" t="s">
        <v>109</v>
      </c>
      <c r="G322" t="s">
        <v>40</v>
      </c>
      <c r="H322" s="13">
        <v>44662</v>
      </c>
      <c r="I322" s="14" t="s">
        <v>401</v>
      </c>
      <c r="J322" t="s">
        <v>98</v>
      </c>
      <c r="K322" t="s">
        <v>107</v>
      </c>
      <c r="L322" s="12" t="s">
        <v>187</v>
      </c>
    </row>
    <row r="323" spans="1:12" x14ac:dyDescent="0.35">
      <c r="A323" t="s">
        <v>402</v>
      </c>
      <c r="B323" s="10">
        <v>1281</v>
      </c>
      <c r="C323" s="10">
        <v>340</v>
      </c>
      <c r="D323" s="10">
        <v>3</v>
      </c>
      <c r="E323" s="11" t="s">
        <v>13</v>
      </c>
      <c r="F323" s="11" t="s">
        <v>14</v>
      </c>
      <c r="G323" t="s">
        <v>32</v>
      </c>
      <c r="H323" s="13">
        <v>44561</v>
      </c>
      <c r="I323" s="14" t="s">
        <v>403</v>
      </c>
      <c r="J323" t="s">
        <v>71</v>
      </c>
      <c r="K323" t="s">
        <v>86</v>
      </c>
      <c r="L323" s="12" t="s">
        <v>90</v>
      </c>
    </row>
    <row r="324" spans="1:12" x14ac:dyDescent="0.35">
      <c r="A324" t="s">
        <v>402</v>
      </c>
      <c r="B324" s="10">
        <v>2404</v>
      </c>
      <c r="C324" s="10">
        <v>253</v>
      </c>
      <c r="D324" s="10">
        <v>15</v>
      </c>
      <c r="E324" s="11" t="s">
        <v>13</v>
      </c>
      <c r="F324" s="11" t="s">
        <v>39</v>
      </c>
      <c r="G324" t="s">
        <v>65</v>
      </c>
      <c r="H324" s="13">
        <v>44561</v>
      </c>
      <c r="I324" s="14" t="s">
        <v>403</v>
      </c>
      <c r="J324" t="s">
        <v>71</v>
      </c>
      <c r="K324" t="s">
        <v>86</v>
      </c>
      <c r="L324" s="12" t="s">
        <v>90</v>
      </c>
    </row>
    <row r="325" spans="1:12" x14ac:dyDescent="0.35">
      <c r="A325" t="s">
        <v>404</v>
      </c>
      <c r="B325" s="10">
        <v>2119</v>
      </c>
      <c r="C325" s="10">
        <v>196</v>
      </c>
      <c r="D325" s="10">
        <v>1</v>
      </c>
      <c r="E325" s="11" t="s">
        <v>45</v>
      </c>
      <c r="F325" s="11" t="s">
        <v>60</v>
      </c>
      <c r="G325" t="s">
        <v>65</v>
      </c>
      <c r="H325" s="13">
        <v>44059</v>
      </c>
      <c r="I325" s="14" t="s">
        <v>405</v>
      </c>
      <c r="J325" t="s">
        <v>42</v>
      </c>
      <c r="K325" t="s">
        <v>43</v>
      </c>
      <c r="L325" s="12" t="s">
        <v>185</v>
      </c>
    </row>
    <row r="326" spans="1:12" x14ac:dyDescent="0.35">
      <c r="A326" t="s">
        <v>406</v>
      </c>
      <c r="B326" s="10">
        <v>3137</v>
      </c>
      <c r="C326" s="10">
        <v>571</v>
      </c>
      <c r="D326" s="10">
        <v>9</v>
      </c>
      <c r="E326" s="11" t="s">
        <v>30</v>
      </c>
      <c r="F326" s="11" t="s">
        <v>31</v>
      </c>
      <c r="G326" t="s">
        <v>32</v>
      </c>
      <c r="H326" s="13">
        <v>45690</v>
      </c>
      <c r="I326" s="14" t="s">
        <v>407</v>
      </c>
      <c r="J326" t="s">
        <v>21</v>
      </c>
      <c r="K326" t="s">
        <v>22</v>
      </c>
      <c r="L326" s="12" t="s">
        <v>73</v>
      </c>
    </row>
    <row r="327" spans="1:12" x14ac:dyDescent="0.35">
      <c r="A327" t="s">
        <v>408</v>
      </c>
      <c r="B327" s="10">
        <v>2323</v>
      </c>
      <c r="C327" s="10">
        <v>727</v>
      </c>
      <c r="D327" s="10">
        <v>7</v>
      </c>
      <c r="E327" s="11" t="s">
        <v>45</v>
      </c>
      <c r="F327" s="11" t="s">
        <v>46</v>
      </c>
      <c r="G327" t="s">
        <v>65</v>
      </c>
      <c r="H327" s="13">
        <v>44616</v>
      </c>
      <c r="I327" s="14" t="s">
        <v>409</v>
      </c>
      <c r="J327" t="s">
        <v>71</v>
      </c>
      <c r="K327" t="s">
        <v>72</v>
      </c>
      <c r="L327" s="12" t="s">
        <v>137</v>
      </c>
    </row>
    <row r="328" spans="1:12" x14ac:dyDescent="0.35">
      <c r="A328" t="s">
        <v>408</v>
      </c>
      <c r="B328" s="10">
        <v>1368</v>
      </c>
      <c r="C328" s="10">
        <v>406</v>
      </c>
      <c r="D328" s="10">
        <v>9</v>
      </c>
      <c r="E328" s="11" t="s">
        <v>45</v>
      </c>
      <c r="F328" s="11" t="s">
        <v>109</v>
      </c>
      <c r="G328" t="s">
        <v>15</v>
      </c>
      <c r="H328" s="13">
        <v>44616</v>
      </c>
      <c r="I328" s="14" t="s">
        <v>409</v>
      </c>
      <c r="J328" t="s">
        <v>71</v>
      </c>
      <c r="K328" t="s">
        <v>72</v>
      </c>
      <c r="L328" s="12" t="s">
        <v>137</v>
      </c>
    </row>
    <row r="329" spans="1:12" x14ac:dyDescent="0.35">
      <c r="A329" t="s">
        <v>410</v>
      </c>
      <c r="B329" s="10">
        <v>9204</v>
      </c>
      <c r="C329" s="10">
        <v>3289</v>
      </c>
      <c r="D329" s="10">
        <v>16</v>
      </c>
      <c r="E329" s="11" t="s">
        <v>13</v>
      </c>
      <c r="F329" s="11" t="s">
        <v>39</v>
      </c>
      <c r="G329" t="s">
        <v>47</v>
      </c>
      <c r="H329" s="13">
        <v>45347</v>
      </c>
      <c r="I329" s="14" t="s">
        <v>411</v>
      </c>
      <c r="J329" t="s">
        <v>17</v>
      </c>
      <c r="K329" t="s">
        <v>18</v>
      </c>
      <c r="L329" s="12" t="s">
        <v>218</v>
      </c>
    </row>
    <row r="330" spans="1:12" x14ac:dyDescent="0.35">
      <c r="A330" t="s">
        <v>410</v>
      </c>
      <c r="B330" s="10">
        <v>9204</v>
      </c>
      <c r="C330" s="10">
        <v>3289</v>
      </c>
      <c r="D330" s="10">
        <v>16</v>
      </c>
      <c r="E330" s="11" t="s">
        <v>13</v>
      </c>
      <c r="F330" s="11" t="s">
        <v>39</v>
      </c>
      <c r="G330" t="s">
        <v>47</v>
      </c>
      <c r="H330" s="13">
        <v>44362</v>
      </c>
      <c r="I330" s="14" t="s">
        <v>412</v>
      </c>
      <c r="J330" t="s">
        <v>17</v>
      </c>
      <c r="K330" t="s">
        <v>18</v>
      </c>
      <c r="L330" s="12" t="s">
        <v>125</v>
      </c>
    </row>
    <row r="331" spans="1:12" x14ac:dyDescent="0.35">
      <c r="A331" t="s">
        <v>410</v>
      </c>
      <c r="B331" s="10">
        <v>9894</v>
      </c>
      <c r="C331" s="10">
        <v>3698</v>
      </c>
      <c r="D331" s="10">
        <v>20</v>
      </c>
      <c r="E331" s="11" t="s">
        <v>30</v>
      </c>
      <c r="F331" s="11" t="s">
        <v>64</v>
      </c>
      <c r="G331" t="s">
        <v>40</v>
      </c>
      <c r="H331" s="13">
        <v>45347</v>
      </c>
      <c r="I331" s="14" t="s">
        <v>411</v>
      </c>
      <c r="J331" t="s">
        <v>17</v>
      </c>
      <c r="K331" t="s">
        <v>18</v>
      </c>
      <c r="L331" s="12" t="s">
        <v>218</v>
      </c>
    </row>
    <row r="332" spans="1:12" x14ac:dyDescent="0.35">
      <c r="A332" t="s">
        <v>410</v>
      </c>
      <c r="B332" s="10">
        <v>9894</v>
      </c>
      <c r="C332" s="10">
        <v>3698</v>
      </c>
      <c r="D332" s="10">
        <v>20</v>
      </c>
      <c r="E332" s="11" t="s">
        <v>30</v>
      </c>
      <c r="F332" s="11" t="s">
        <v>64</v>
      </c>
      <c r="G332" t="s">
        <v>40</v>
      </c>
      <c r="H332" s="13">
        <v>44362</v>
      </c>
      <c r="I332" s="14" t="s">
        <v>412</v>
      </c>
      <c r="J332" t="s">
        <v>17</v>
      </c>
      <c r="K332" t="s">
        <v>18</v>
      </c>
      <c r="L332" s="12" t="s">
        <v>125</v>
      </c>
    </row>
    <row r="333" spans="1:12" x14ac:dyDescent="0.35">
      <c r="A333" t="s">
        <v>413</v>
      </c>
      <c r="B333" s="10">
        <v>5322</v>
      </c>
      <c r="C333" s="10">
        <v>1423</v>
      </c>
      <c r="D333" s="10">
        <v>18</v>
      </c>
      <c r="E333" s="11" t="s">
        <v>45</v>
      </c>
      <c r="F333" s="11" t="s">
        <v>60</v>
      </c>
      <c r="G333" t="s">
        <v>65</v>
      </c>
      <c r="H333" s="13">
        <v>44903</v>
      </c>
      <c r="I333" s="14" t="s">
        <v>414</v>
      </c>
      <c r="J333" t="s">
        <v>71</v>
      </c>
      <c r="K333" t="s">
        <v>138</v>
      </c>
      <c r="L333" s="12" t="s">
        <v>152</v>
      </c>
    </row>
    <row r="334" spans="1:12" x14ac:dyDescent="0.35">
      <c r="A334" t="s">
        <v>413</v>
      </c>
      <c r="B334" s="10">
        <v>5322</v>
      </c>
      <c r="C334" s="10">
        <v>1423</v>
      </c>
      <c r="D334" s="10">
        <v>18</v>
      </c>
      <c r="E334" s="11" t="s">
        <v>45</v>
      </c>
      <c r="F334" s="11" t="s">
        <v>60</v>
      </c>
      <c r="G334" t="s">
        <v>65</v>
      </c>
      <c r="H334" s="13">
        <v>45269</v>
      </c>
      <c r="I334" s="14" t="s">
        <v>415</v>
      </c>
      <c r="J334" t="s">
        <v>71</v>
      </c>
      <c r="K334" t="s">
        <v>72</v>
      </c>
      <c r="L334" s="12" t="s">
        <v>102</v>
      </c>
    </row>
    <row r="335" spans="1:12" x14ac:dyDescent="0.35">
      <c r="A335" t="s">
        <v>416</v>
      </c>
      <c r="B335" s="10">
        <v>2666</v>
      </c>
      <c r="C335" s="10">
        <v>559</v>
      </c>
      <c r="D335" s="10">
        <v>14</v>
      </c>
      <c r="E335" s="11" t="s">
        <v>45</v>
      </c>
      <c r="F335" s="11" t="s">
        <v>49</v>
      </c>
      <c r="G335" t="s">
        <v>65</v>
      </c>
      <c r="H335" s="13">
        <v>44758</v>
      </c>
      <c r="I335" s="14" t="s">
        <v>417</v>
      </c>
      <c r="J335" t="s">
        <v>98</v>
      </c>
      <c r="K335" t="s">
        <v>117</v>
      </c>
      <c r="L335" s="12" t="s">
        <v>418</v>
      </c>
    </row>
    <row r="336" spans="1:12" x14ac:dyDescent="0.35">
      <c r="A336" t="s">
        <v>419</v>
      </c>
      <c r="B336" s="10">
        <v>8383</v>
      </c>
      <c r="C336" s="10">
        <v>937</v>
      </c>
      <c r="D336" s="10">
        <v>4</v>
      </c>
      <c r="E336" s="11" t="s">
        <v>45</v>
      </c>
      <c r="F336" s="11" t="s">
        <v>60</v>
      </c>
      <c r="G336" t="s">
        <v>15</v>
      </c>
      <c r="H336" s="13">
        <v>45417</v>
      </c>
      <c r="I336" s="14" t="s">
        <v>420</v>
      </c>
      <c r="J336" t="s">
        <v>17</v>
      </c>
      <c r="K336" t="s">
        <v>34</v>
      </c>
      <c r="L336" s="12" t="s">
        <v>35</v>
      </c>
    </row>
    <row r="337" spans="1:12" x14ac:dyDescent="0.35">
      <c r="A337" t="s">
        <v>421</v>
      </c>
      <c r="B337" s="10">
        <v>7560</v>
      </c>
      <c r="C337" s="10">
        <v>821</v>
      </c>
      <c r="D337" s="10">
        <v>4</v>
      </c>
      <c r="E337" s="11" t="s">
        <v>30</v>
      </c>
      <c r="F337" s="11" t="s">
        <v>64</v>
      </c>
      <c r="G337" t="s">
        <v>40</v>
      </c>
      <c r="H337" s="13">
        <v>44473</v>
      </c>
      <c r="I337" s="14" t="s">
        <v>422</v>
      </c>
      <c r="J337" t="s">
        <v>21</v>
      </c>
      <c r="K337" t="s">
        <v>22</v>
      </c>
      <c r="L337" s="12" t="s">
        <v>37</v>
      </c>
    </row>
    <row r="338" spans="1:12" x14ac:dyDescent="0.35">
      <c r="A338" t="s">
        <v>423</v>
      </c>
      <c r="B338" s="10">
        <v>1314</v>
      </c>
      <c r="C338" s="10">
        <v>490</v>
      </c>
      <c r="D338" s="10">
        <v>16</v>
      </c>
      <c r="E338" s="11" t="s">
        <v>45</v>
      </c>
      <c r="F338" s="11" t="s">
        <v>60</v>
      </c>
      <c r="G338" t="s">
        <v>15</v>
      </c>
      <c r="H338" s="13">
        <v>44520</v>
      </c>
      <c r="I338" s="14" t="s">
        <v>424</v>
      </c>
      <c r="J338" t="s">
        <v>25</v>
      </c>
      <c r="K338" t="s">
        <v>26</v>
      </c>
      <c r="L338" s="12" t="s">
        <v>175</v>
      </c>
    </row>
    <row r="339" spans="1:12" x14ac:dyDescent="0.35">
      <c r="A339" t="s">
        <v>423</v>
      </c>
      <c r="B339" s="10">
        <v>4390</v>
      </c>
      <c r="C339" s="10">
        <v>179</v>
      </c>
      <c r="D339" s="10">
        <v>1</v>
      </c>
      <c r="E339" s="11" t="s">
        <v>45</v>
      </c>
      <c r="F339" s="11" t="s">
        <v>46</v>
      </c>
      <c r="G339" t="s">
        <v>32</v>
      </c>
      <c r="H339" s="13">
        <v>44520</v>
      </c>
      <c r="I339" s="14" t="s">
        <v>424</v>
      </c>
      <c r="J339" t="s">
        <v>25</v>
      </c>
      <c r="K339" t="s">
        <v>26</v>
      </c>
      <c r="L339" s="12" t="s">
        <v>175</v>
      </c>
    </row>
    <row r="340" spans="1:12" x14ac:dyDescent="0.35">
      <c r="A340" t="s">
        <v>423</v>
      </c>
      <c r="B340" s="10">
        <v>1150</v>
      </c>
      <c r="C340" s="10">
        <v>58</v>
      </c>
      <c r="D340" s="10">
        <v>7</v>
      </c>
      <c r="E340" s="11" t="s">
        <v>30</v>
      </c>
      <c r="F340" s="11" t="s">
        <v>78</v>
      </c>
      <c r="G340" t="s">
        <v>32</v>
      </c>
      <c r="H340" s="13">
        <v>44520</v>
      </c>
      <c r="I340" s="14" t="s">
        <v>424</v>
      </c>
      <c r="J340" t="s">
        <v>25</v>
      </c>
      <c r="K340" t="s">
        <v>26</v>
      </c>
      <c r="L340" s="12" t="s">
        <v>175</v>
      </c>
    </row>
    <row r="341" spans="1:12" x14ac:dyDescent="0.35">
      <c r="A341" t="s">
        <v>425</v>
      </c>
      <c r="B341" s="10">
        <v>1574</v>
      </c>
      <c r="C341" s="10">
        <v>258</v>
      </c>
      <c r="D341" s="10">
        <v>17</v>
      </c>
      <c r="E341" s="11" t="s">
        <v>30</v>
      </c>
      <c r="F341" s="11" t="s">
        <v>31</v>
      </c>
      <c r="G341" t="s">
        <v>40</v>
      </c>
      <c r="H341" s="13">
        <v>44089</v>
      </c>
      <c r="I341" s="14" t="s">
        <v>426</v>
      </c>
      <c r="J341" t="s">
        <v>42</v>
      </c>
      <c r="K341" t="s">
        <v>75</v>
      </c>
      <c r="L341" s="12" t="s">
        <v>389</v>
      </c>
    </row>
    <row r="342" spans="1:12" x14ac:dyDescent="0.35">
      <c r="A342" t="s">
        <v>425</v>
      </c>
      <c r="B342" s="10">
        <v>5635</v>
      </c>
      <c r="C342" s="10">
        <v>318</v>
      </c>
      <c r="D342" s="10">
        <v>17</v>
      </c>
      <c r="E342" s="11" t="s">
        <v>30</v>
      </c>
      <c r="F342" s="11" t="s">
        <v>78</v>
      </c>
      <c r="G342" t="s">
        <v>15</v>
      </c>
      <c r="H342" s="13">
        <v>44089</v>
      </c>
      <c r="I342" s="14" t="s">
        <v>426</v>
      </c>
      <c r="J342" t="s">
        <v>42</v>
      </c>
      <c r="K342" t="s">
        <v>75</v>
      </c>
      <c r="L342" s="12" t="s">
        <v>389</v>
      </c>
    </row>
    <row r="343" spans="1:12" x14ac:dyDescent="0.35">
      <c r="A343" t="s">
        <v>425</v>
      </c>
      <c r="B343" s="10">
        <v>6515</v>
      </c>
      <c r="C343" s="10">
        <v>961</v>
      </c>
      <c r="D343" s="10">
        <v>11</v>
      </c>
      <c r="E343" s="11" t="s">
        <v>45</v>
      </c>
      <c r="F343" s="11" t="s">
        <v>60</v>
      </c>
      <c r="G343" t="s">
        <v>32</v>
      </c>
      <c r="H343" s="13">
        <v>44089</v>
      </c>
      <c r="I343" s="14" t="s">
        <v>426</v>
      </c>
      <c r="J343" t="s">
        <v>42</v>
      </c>
      <c r="K343" t="s">
        <v>75</v>
      </c>
      <c r="L343" s="12" t="s">
        <v>389</v>
      </c>
    </row>
    <row r="344" spans="1:12" x14ac:dyDescent="0.35">
      <c r="A344" t="s">
        <v>427</v>
      </c>
      <c r="B344" s="10">
        <v>1231</v>
      </c>
      <c r="C344" s="10">
        <v>214</v>
      </c>
      <c r="D344" s="10">
        <v>20</v>
      </c>
      <c r="E344" s="11" t="s">
        <v>13</v>
      </c>
      <c r="F344" s="11" t="s">
        <v>39</v>
      </c>
      <c r="G344" t="s">
        <v>32</v>
      </c>
      <c r="H344" s="13">
        <v>44943</v>
      </c>
      <c r="I344" s="14" t="s">
        <v>428</v>
      </c>
      <c r="J344" t="s">
        <v>98</v>
      </c>
      <c r="K344" t="s">
        <v>99</v>
      </c>
      <c r="L344" s="12" t="s">
        <v>333</v>
      </c>
    </row>
    <row r="345" spans="1:12" x14ac:dyDescent="0.35">
      <c r="A345" t="s">
        <v>427</v>
      </c>
      <c r="B345" s="10">
        <v>1231</v>
      </c>
      <c r="C345" s="10">
        <v>214</v>
      </c>
      <c r="D345" s="10">
        <v>20</v>
      </c>
      <c r="E345" s="11" t="s">
        <v>13</v>
      </c>
      <c r="F345" s="11" t="s">
        <v>39</v>
      </c>
      <c r="G345" t="s">
        <v>32</v>
      </c>
      <c r="H345" s="13">
        <v>43998</v>
      </c>
      <c r="I345" s="14" t="s">
        <v>429</v>
      </c>
      <c r="J345" t="s">
        <v>25</v>
      </c>
      <c r="K345" t="s">
        <v>68</v>
      </c>
      <c r="L345" s="12" t="s">
        <v>313</v>
      </c>
    </row>
    <row r="346" spans="1:12" x14ac:dyDescent="0.35">
      <c r="A346" t="s">
        <v>430</v>
      </c>
      <c r="B346" s="10">
        <v>6891</v>
      </c>
      <c r="C346" s="10">
        <v>2529</v>
      </c>
      <c r="D346" s="10">
        <v>3</v>
      </c>
      <c r="E346" s="11" t="s">
        <v>30</v>
      </c>
      <c r="F346" s="11" t="s">
        <v>78</v>
      </c>
      <c r="G346" t="s">
        <v>32</v>
      </c>
      <c r="H346" s="13">
        <v>45413</v>
      </c>
      <c r="I346" s="14" t="s">
        <v>431</v>
      </c>
      <c r="J346" t="s">
        <v>98</v>
      </c>
      <c r="K346" t="s">
        <v>117</v>
      </c>
      <c r="L346" s="12" t="s">
        <v>35</v>
      </c>
    </row>
    <row r="347" spans="1:12" x14ac:dyDescent="0.35">
      <c r="A347" t="s">
        <v>432</v>
      </c>
      <c r="B347" s="10">
        <v>7524</v>
      </c>
      <c r="C347" s="10">
        <v>2308</v>
      </c>
      <c r="D347" s="10">
        <v>15</v>
      </c>
      <c r="E347" s="11" t="s">
        <v>13</v>
      </c>
      <c r="F347" s="11" t="s">
        <v>39</v>
      </c>
      <c r="G347" t="s">
        <v>40</v>
      </c>
      <c r="H347" s="13">
        <v>45267</v>
      </c>
      <c r="I347" s="14" t="s">
        <v>433</v>
      </c>
      <c r="J347" t="s">
        <v>71</v>
      </c>
      <c r="K347" t="s">
        <v>86</v>
      </c>
      <c r="L347" s="12" t="s">
        <v>102</v>
      </c>
    </row>
    <row r="348" spans="1:12" x14ac:dyDescent="0.35">
      <c r="A348" t="s">
        <v>432</v>
      </c>
      <c r="B348" s="10">
        <v>6864</v>
      </c>
      <c r="C348" s="10">
        <v>1824</v>
      </c>
      <c r="D348" s="10">
        <v>14</v>
      </c>
      <c r="E348" s="11" t="s">
        <v>13</v>
      </c>
      <c r="F348" s="11" t="s">
        <v>28</v>
      </c>
      <c r="G348" t="s">
        <v>47</v>
      </c>
      <c r="H348" s="13">
        <v>45267</v>
      </c>
      <c r="I348" s="14" t="s">
        <v>433</v>
      </c>
      <c r="J348" t="s">
        <v>71</v>
      </c>
      <c r="K348" t="s">
        <v>86</v>
      </c>
      <c r="L348" s="12" t="s">
        <v>102</v>
      </c>
    </row>
    <row r="349" spans="1:12" x14ac:dyDescent="0.35">
      <c r="A349" t="s">
        <v>434</v>
      </c>
      <c r="B349" s="10">
        <v>4215</v>
      </c>
      <c r="C349" s="10">
        <v>432</v>
      </c>
      <c r="D349" s="10">
        <v>14</v>
      </c>
      <c r="E349" s="11" t="s">
        <v>45</v>
      </c>
      <c r="F349" s="11" t="s">
        <v>49</v>
      </c>
      <c r="G349" t="s">
        <v>32</v>
      </c>
      <c r="H349" s="13">
        <v>45324</v>
      </c>
      <c r="I349" s="14" t="s">
        <v>435</v>
      </c>
      <c r="J349" t="s">
        <v>98</v>
      </c>
      <c r="K349" t="s">
        <v>99</v>
      </c>
      <c r="L349" s="12" t="s">
        <v>218</v>
      </c>
    </row>
    <row r="350" spans="1:12" x14ac:dyDescent="0.35">
      <c r="A350" t="s">
        <v>436</v>
      </c>
      <c r="B350" s="10">
        <v>622</v>
      </c>
      <c r="C350" s="10">
        <v>218</v>
      </c>
      <c r="D350" s="10">
        <v>19</v>
      </c>
      <c r="E350" s="11" t="s">
        <v>45</v>
      </c>
      <c r="F350" s="11" t="s">
        <v>109</v>
      </c>
      <c r="G350" t="s">
        <v>47</v>
      </c>
      <c r="H350" s="13">
        <v>45466</v>
      </c>
      <c r="I350" s="14" t="s">
        <v>437</v>
      </c>
      <c r="J350" t="s">
        <v>42</v>
      </c>
      <c r="K350" t="s">
        <v>75</v>
      </c>
      <c r="L350" s="12" t="s">
        <v>262</v>
      </c>
    </row>
    <row r="351" spans="1:12" x14ac:dyDescent="0.35">
      <c r="A351" t="s">
        <v>436</v>
      </c>
      <c r="B351" s="10">
        <v>1755</v>
      </c>
      <c r="C351" s="10">
        <v>495</v>
      </c>
      <c r="D351" s="10">
        <v>18</v>
      </c>
      <c r="E351" s="11" t="s">
        <v>30</v>
      </c>
      <c r="F351" s="11" t="s">
        <v>31</v>
      </c>
      <c r="G351" t="s">
        <v>15</v>
      </c>
      <c r="H351" s="13">
        <v>45466</v>
      </c>
      <c r="I351" s="14" t="s">
        <v>437</v>
      </c>
      <c r="J351" t="s">
        <v>42</v>
      </c>
      <c r="K351" t="s">
        <v>75</v>
      </c>
      <c r="L351" s="12" t="s">
        <v>262</v>
      </c>
    </row>
    <row r="352" spans="1:12" x14ac:dyDescent="0.35">
      <c r="A352" t="s">
        <v>436</v>
      </c>
      <c r="B352" s="10">
        <v>8020</v>
      </c>
      <c r="C352" s="10">
        <v>3898</v>
      </c>
      <c r="D352" s="10">
        <v>20</v>
      </c>
      <c r="E352" s="11" t="s">
        <v>13</v>
      </c>
      <c r="F352" s="11" t="s">
        <v>14</v>
      </c>
      <c r="G352" t="s">
        <v>40</v>
      </c>
      <c r="H352" s="13">
        <v>45466</v>
      </c>
      <c r="I352" s="14" t="s">
        <v>437</v>
      </c>
      <c r="J352" t="s">
        <v>42</v>
      </c>
      <c r="K352" t="s">
        <v>75</v>
      </c>
      <c r="L352" s="12" t="s">
        <v>262</v>
      </c>
    </row>
    <row r="353" spans="1:12" x14ac:dyDescent="0.35">
      <c r="A353" t="s">
        <v>438</v>
      </c>
      <c r="B353" s="10">
        <v>7333</v>
      </c>
      <c r="C353" s="10">
        <v>1576</v>
      </c>
      <c r="D353" s="10">
        <v>4</v>
      </c>
      <c r="E353" s="11" t="s">
        <v>13</v>
      </c>
      <c r="F353" s="11" t="s">
        <v>39</v>
      </c>
      <c r="G353" t="s">
        <v>47</v>
      </c>
      <c r="H353" s="13">
        <v>45450</v>
      </c>
      <c r="I353" s="14" t="s">
        <v>439</v>
      </c>
      <c r="J353" t="s">
        <v>25</v>
      </c>
      <c r="K353" t="s">
        <v>26</v>
      </c>
      <c r="L353" s="12" t="s">
        <v>262</v>
      </c>
    </row>
    <row r="354" spans="1:12" x14ac:dyDescent="0.35">
      <c r="A354" t="s">
        <v>440</v>
      </c>
      <c r="B354" s="10">
        <v>7690</v>
      </c>
      <c r="C354" s="10">
        <v>1134</v>
      </c>
      <c r="D354" s="10">
        <v>4</v>
      </c>
      <c r="E354" s="11" t="s">
        <v>13</v>
      </c>
      <c r="F354" s="11" t="s">
        <v>14</v>
      </c>
      <c r="G354" t="s">
        <v>65</v>
      </c>
      <c r="H354" s="13">
        <v>45212</v>
      </c>
      <c r="I354" s="14" t="s">
        <v>441</v>
      </c>
      <c r="J354" t="s">
        <v>25</v>
      </c>
      <c r="K354" t="s">
        <v>68</v>
      </c>
      <c r="L354" s="12" t="s">
        <v>442</v>
      </c>
    </row>
    <row r="355" spans="1:12" x14ac:dyDescent="0.35">
      <c r="A355" t="s">
        <v>440</v>
      </c>
      <c r="B355" s="10">
        <v>912</v>
      </c>
      <c r="C355" s="10">
        <v>246</v>
      </c>
      <c r="D355" s="10">
        <v>2</v>
      </c>
      <c r="E355" s="11" t="s">
        <v>45</v>
      </c>
      <c r="F355" s="11" t="s">
        <v>60</v>
      </c>
      <c r="G355" t="s">
        <v>40</v>
      </c>
      <c r="H355" s="13">
        <v>45212</v>
      </c>
      <c r="I355" s="14" t="s">
        <v>441</v>
      </c>
      <c r="J355" t="s">
        <v>25</v>
      </c>
      <c r="K355" t="s">
        <v>68</v>
      </c>
      <c r="L355" s="12" t="s">
        <v>442</v>
      </c>
    </row>
    <row r="356" spans="1:12" x14ac:dyDescent="0.35">
      <c r="A356" t="s">
        <v>443</v>
      </c>
      <c r="B356" s="10">
        <v>2791</v>
      </c>
      <c r="C356" s="10">
        <v>894</v>
      </c>
      <c r="D356" s="10">
        <v>14</v>
      </c>
      <c r="E356" s="11" t="s">
        <v>13</v>
      </c>
      <c r="F356" s="11" t="s">
        <v>39</v>
      </c>
      <c r="G356" t="s">
        <v>65</v>
      </c>
      <c r="H356" s="13">
        <v>44842</v>
      </c>
      <c r="I356" s="14" t="s">
        <v>444</v>
      </c>
      <c r="J356" t="s">
        <v>71</v>
      </c>
      <c r="K356" t="s">
        <v>86</v>
      </c>
      <c r="L356" s="12" t="s">
        <v>96</v>
      </c>
    </row>
    <row r="357" spans="1:12" x14ac:dyDescent="0.35">
      <c r="A357" t="s">
        <v>443</v>
      </c>
      <c r="B357" s="10">
        <v>2791</v>
      </c>
      <c r="C357" s="10">
        <v>894</v>
      </c>
      <c r="D357" s="10">
        <v>14</v>
      </c>
      <c r="E357" s="11" t="s">
        <v>13</v>
      </c>
      <c r="F357" s="11" t="s">
        <v>39</v>
      </c>
      <c r="G357" t="s">
        <v>65</v>
      </c>
      <c r="H357" s="13">
        <v>45226</v>
      </c>
      <c r="I357" s="14" t="s">
        <v>445</v>
      </c>
      <c r="J357" t="s">
        <v>98</v>
      </c>
      <c r="K357" t="s">
        <v>107</v>
      </c>
      <c r="L357" s="12" t="s">
        <v>442</v>
      </c>
    </row>
    <row r="358" spans="1:12" x14ac:dyDescent="0.35">
      <c r="A358" t="s">
        <v>443</v>
      </c>
      <c r="B358" s="10">
        <v>2791</v>
      </c>
      <c r="C358" s="10">
        <v>894</v>
      </c>
      <c r="D358" s="10">
        <v>14</v>
      </c>
      <c r="E358" s="11" t="s">
        <v>13</v>
      </c>
      <c r="F358" s="11" t="s">
        <v>39</v>
      </c>
      <c r="G358" t="s">
        <v>65</v>
      </c>
      <c r="H358" s="13">
        <v>44236</v>
      </c>
      <c r="I358" s="14" t="s">
        <v>446</v>
      </c>
      <c r="J358" t="s">
        <v>71</v>
      </c>
      <c r="K358" t="s">
        <v>72</v>
      </c>
      <c r="L358" s="12" t="s">
        <v>292</v>
      </c>
    </row>
    <row r="359" spans="1:12" x14ac:dyDescent="0.35">
      <c r="A359" t="s">
        <v>443</v>
      </c>
      <c r="B359" s="10">
        <v>6223</v>
      </c>
      <c r="C359" s="10">
        <v>1478</v>
      </c>
      <c r="D359" s="10">
        <v>3</v>
      </c>
      <c r="E359" s="11" t="s">
        <v>45</v>
      </c>
      <c r="F359" s="11" t="s">
        <v>60</v>
      </c>
      <c r="G359" t="s">
        <v>32</v>
      </c>
      <c r="H359" s="13">
        <v>44842</v>
      </c>
      <c r="I359" s="14" t="s">
        <v>444</v>
      </c>
      <c r="J359" t="s">
        <v>71</v>
      </c>
      <c r="K359" t="s">
        <v>86</v>
      </c>
      <c r="L359" s="12" t="s">
        <v>96</v>
      </c>
    </row>
    <row r="360" spans="1:12" x14ac:dyDescent="0.35">
      <c r="A360" t="s">
        <v>443</v>
      </c>
      <c r="B360" s="10">
        <v>6223</v>
      </c>
      <c r="C360" s="10">
        <v>1478</v>
      </c>
      <c r="D360" s="10">
        <v>3</v>
      </c>
      <c r="E360" s="11" t="s">
        <v>45</v>
      </c>
      <c r="F360" s="11" t="s">
        <v>60</v>
      </c>
      <c r="G360" t="s">
        <v>32</v>
      </c>
      <c r="H360" s="13">
        <v>45226</v>
      </c>
      <c r="I360" s="14" t="s">
        <v>445</v>
      </c>
      <c r="J360" t="s">
        <v>98</v>
      </c>
      <c r="K360" t="s">
        <v>107</v>
      </c>
      <c r="L360" s="12" t="s">
        <v>442</v>
      </c>
    </row>
    <row r="361" spans="1:12" x14ac:dyDescent="0.35">
      <c r="A361" t="s">
        <v>443</v>
      </c>
      <c r="B361" s="10">
        <v>6223</v>
      </c>
      <c r="C361" s="10">
        <v>1478</v>
      </c>
      <c r="D361" s="10">
        <v>3</v>
      </c>
      <c r="E361" s="11" t="s">
        <v>45</v>
      </c>
      <c r="F361" s="11" t="s">
        <v>60</v>
      </c>
      <c r="G361" t="s">
        <v>32</v>
      </c>
      <c r="H361" s="13">
        <v>44236</v>
      </c>
      <c r="I361" s="14" t="s">
        <v>446</v>
      </c>
      <c r="J361" t="s">
        <v>71</v>
      </c>
      <c r="K361" t="s">
        <v>72</v>
      </c>
      <c r="L361" s="12" t="s">
        <v>292</v>
      </c>
    </row>
    <row r="362" spans="1:12" x14ac:dyDescent="0.35">
      <c r="A362" t="s">
        <v>443</v>
      </c>
      <c r="B362" s="10">
        <v>8943</v>
      </c>
      <c r="C362" s="10">
        <v>3121</v>
      </c>
      <c r="D362" s="10">
        <v>17</v>
      </c>
      <c r="E362" s="11" t="s">
        <v>45</v>
      </c>
      <c r="F362" s="11" t="s">
        <v>49</v>
      </c>
      <c r="G362" t="s">
        <v>32</v>
      </c>
      <c r="H362" s="13">
        <v>44842</v>
      </c>
      <c r="I362" s="14" t="s">
        <v>444</v>
      </c>
      <c r="J362" t="s">
        <v>71</v>
      </c>
      <c r="K362" t="s">
        <v>86</v>
      </c>
      <c r="L362" s="12" t="s">
        <v>96</v>
      </c>
    </row>
    <row r="363" spans="1:12" x14ac:dyDescent="0.35">
      <c r="A363" t="s">
        <v>443</v>
      </c>
      <c r="B363" s="10">
        <v>8943</v>
      </c>
      <c r="C363" s="10">
        <v>3121</v>
      </c>
      <c r="D363" s="10">
        <v>17</v>
      </c>
      <c r="E363" s="11" t="s">
        <v>45</v>
      </c>
      <c r="F363" s="11" t="s">
        <v>49</v>
      </c>
      <c r="G363" t="s">
        <v>32</v>
      </c>
      <c r="H363" s="13">
        <v>45226</v>
      </c>
      <c r="I363" s="14" t="s">
        <v>445</v>
      </c>
      <c r="J363" t="s">
        <v>98</v>
      </c>
      <c r="K363" t="s">
        <v>107</v>
      </c>
      <c r="L363" s="12" t="s">
        <v>442</v>
      </c>
    </row>
    <row r="364" spans="1:12" x14ac:dyDescent="0.35">
      <c r="A364" t="s">
        <v>443</v>
      </c>
      <c r="B364" s="10">
        <v>8943</v>
      </c>
      <c r="C364" s="10">
        <v>3121</v>
      </c>
      <c r="D364" s="10">
        <v>17</v>
      </c>
      <c r="E364" s="11" t="s">
        <v>45</v>
      </c>
      <c r="F364" s="11" t="s">
        <v>49</v>
      </c>
      <c r="G364" t="s">
        <v>32</v>
      </c>
      <c r="H364" s="13">
        <v>44236</v>
      </c>
      <c r="I364" s="14" t="s">
        <v>446</v>
      </c>
      <c r="J364" t="s">
        <v>71</v>
      </c>
      <c r="K364" t="s">
        <v>72</v>
      </c>
      <c r="L364" s="12" t="s">
        <v>292</v>
      </c>
    </row>
    <row r="365" spans="1:12" x14ac:dyDescent="0.35">
      <c r="A365" t="s">
        <v>443</v>
      </c>
      <c r="B365" s="10">
        <v>3297</v>
      </c>
      <c r="C365" s="10">
        <v>102</v>
      </c>
      <c r="D365" s="10">
        <v>12</v>
      </c>
      <c r="E365" s="11" t="s">
        <v>13</v>
      </c>
      <c r="F365" s="11" t="s">
        <v>82</v>
      </c>
      <c r="G365" t="s">
        <v>47</v>
      </c>
      <c r="H365" s="13">
        <v>44842</v>
      </c>
      <c r="I365" s="14" t="s">
        <v>444</v>
      </c>
      <c r="J365" t="s">
        <v>71</v>
      </c>
      <c r="K365" t="s">
        <v>86</v>
      </c>
      <c r="L365" s="12" t="s">
        <v>96</v>
      </c>
    </row>
    <row r="366" spans="1:12" x14ac:dyDescent="0.35">
      <c r="A366" t="s">
        <v>443</v>
      </c>
      <c r="B366" s="10">
        <v>3297</v>
      </c>
      <c r="C366" s="10">
        <v>102</v>
      </c>
      <c r="D366" s="10">
        <v>12</v>
      </c>
      <c r="E366" s="11" t="s">
        <v>13</v>
      </c>
      <c r="F366" s="11" t="s">
        <v>82</v>
      </c>
      <c r="G366" t="s">
        <v>47</v>
      </c>
      <c r="H366" s="13">
        <v>45226</v>
      </c>
      <c r="I366" s="14" t="s">
        <v>445</v>
      </c>
      <c r="J366" t="s">
        <v>98</v>
      </c>
      <c r="K366" t="s">
        <v>107</v>
      </c>
      <c r="L366" s="12" t="s">
        <v>442</v>
      </c>
    </row>
    <row r="367" spans="1:12" x14ac:dyDescent="0.35">
      <c r="A367" t="s">
        <v>443</v>
      </c>
      <c r="B367" s="10">
        <v>3297</v>
      </c>
      <c r="C367" s="10">
        <v>102</v>
      </c>
      <c r="D367" s="10">
        <v>12</v>
      </c>
      <c r="E367" s="11" t="s">
        <v>13</v>
      </c>
      <c r="F367" s="11" t="s">
        <v>82</v>
      </c>
      <c r="G367" t="s">
        <v>47</v>
      </c>
      <c r="H367" s="13">
        <v>44236</v>
      </c>
      <c r="I367" s="14" t="s">
        <v>446</v>
      </c>
      <c r="J367" t="s">
        <v>71</v>
      </c>
      <c r="K367" t="s">
        <v>72</v>
      </c>
      <c r="L367" s="12" t="s">
        <v>292</v>
      </c>
    </row>
    <row r="368" spans="1:12" x14ac:dyDescent="0.35">
      <c r="A368" t="s">
        <v>447</v>
      </c>
      <c r="B368" s="10">
        <v>8769</v>
      </c>
      <c r="C368" s="10">
        <v>1989</v>
      </c>
      <c r="D368" s="10">
        <v>20</v>
      </c>
      <c r="E368" s="11" t="s">
        <v>30</v>
      </c>
      <c r="F368" s="11" t="s">
        <v>64</v>
      </c>
      <c r="G368" t="s">
        <v>15</v>
      </c>
      <c r="H368" s="13">
        <v>44138</v>
      </c>
      <c r="I368" s="14" t="s">
        <v>448</v>
      </c>
      <c r="J368" t="s">
        <v>21</v>
      </c>
      <c r="K368" t="s">
        <v>22</v>
      </c>
      <c r="L368" s="12" t="s">
        <v>80</v>
      </c>
    </row>
    <row r="369" spans="1:12" x14ac:dyDescent="0.35">
      <c r="A369" t="s">
        <v>449</v>
      </c>
      <c r="B369" s="10">
        <v>9057</v>
      </c>
      <c r="C369" s="10">
        <v>1888</v>
      </c>
      <c r="D369" s="10">
        <v>19</v>
      </c>
      <c r="E369" s="11" t="s">
        <v>13</v>
      </c>
      <c r="F369" s="11" t="s">
        <v>28</v>
      </c>
      <c r="G369" t="s">
        <v>65</v>
      </c>
      <c r="H369" s="13">
        <v>44711</v>
      </c>
      <c r="I369" s="14" t="s">
        <v>450</v>
      </c>
      <c r="J369" t="s">
        <v>17</v>
      </c>
      <c r="K369" t="s">
        <v>34</v>
      </c>
      <c r="L369" s="12" t="s">
        <v>180</v>
      </c>
    </row>
    <row r="370" spans="1:12" x14ac:dyDescent="0.35">
      <c r="A370" t="s">
        <v>449</v>
      </c>
      <c r="B370" s="10">
        <v>6864</v>
      </c>
      <c r="C370" s="10">
        <v>3275</v>
      </c>
      <c r="D370" s="10">
        <v>11</v>
      </c>
      <c r="E370" s="11" t="s">
        <v>45</v>
      </c>
      <c r="F370" s="11" t="s">
        <v>46</v>
      </c>
      <c r="G370" t="s">
        <v>47</v>
      </c>
      <c r="H370" s="13">
        <v>44711</v>
      </c>
      <c r="I370" s="14" t="s">
        <v>450</v>
      </c>
      <c r="J370" t="s">
        <v>17</v>
      </c>
      <c r="K370" t="s">
        <v>34</v>
      </c>
      <c r="L370" s="12" t="s">
        <v>180</v>
      </c>
    </row>
    <row r="371" spans="1:12" x14ac:dyDescent="0.35">
      <c r="A371" t="s">
        <v>449</v>
      </c>
      <c r="B371" s="10">
        <v>9200</v>
      </c>
      <c r="C371" s="10">
        <v>809</v>
      </c>
      <c r="D371" s="10">
        <v>13</v>
      </c>
      <c r="E371" s="11" t="s">
        <v>13</v>
      </c>
      <c r="F371" s="11" t="s">
        <v>39</v>
      </c>
      <c r="G371" t="s">
        <v>65</v>
      </c>
      <c r="H371" s="13">
        <v>44711</v>
      </c>
      <c r="I371" s="14" t="s">
        <v>450</v>
      </c>
      <c r="J371" t="s">
        <v>17</v>
      </c>
      <c r="K371" t="s">
        <v>34</v>
      </c>
      <c r="L371" s="12" t="s">
        <v>180</v>
      </c>
    </row>
    <row r="372" spans="1:12" x14ac:dyDescent="0.35">
      <c r="A372" t="s">
        <v>451</v>
      </c>
      <c r="B372" s="10">
        <v>6113</v>
      </c>
      <c r="C372" s="10">
        <v>2508</v>
      </c>
      <c r="D372" s="10">
        <v>6</v>
      </c>
      <c r="E372" s="11" t="s">
        <v>13</v>
      </c>
      <c r="F372" s="11" t="s">
        <v>39</v>
      </c>
      <c r="G372" t="s">
        <v>15</v>
      </c>
      <c r="H372" s="13">
        <v>45459</v>
      </c>
      <c r="I372" s="14" t="s">
        <v>452</v>
      </c>
      <c r="J372" t="s">
        <v>17</v>
      </c>
      <c r="K372" t="s">
        <v>34</v>
      </c>
      <c r="L372" s="12" t="s">
        <v>262</v>
      </c>
    </row>
    <row r="373" spans="1:12" x14ac:dyDescent="0.35">
      <c r="A373" t="s">
        <v>451</v>
      </c>
      <c r="B373" s="10">
        <v>7733</v>
      </c>
      <c r="C373" s="10">
        <v>2784</v>
      </c>
      <c r="D373" s="10">
        <v>15</v>
      </c>
      <c r="E373" s="11" t="s">
        <v>45</v>
      </c>
      <c r="F373" s="11" t="s">
        <v>46</v>
      </c>
      <c r="G373" t="s">
        <v>40</v>
      </c>
      <c r="H373" s="13">
        <v>45459</v>
      </c>
      <c r="I373" s="14" t="s">
        <v>452</v>
      </c>
      <c r="J373" t="s">
        <v>17</v>
      </c>
      <c r="K373" t="s">
        <v>34</v>
      </c>
      <c r="L373" s="12" t="s">
        <v>262</v>
      </c>
    </row>
    <row r="374" spans="1:12" x14ac:dyDescent="0.35">
      <c r="A374" t="s">
        <v>451</v>
      </c>
      <c r="B374" s="10">
        <v>8524</v>
      </c>
      <c r="C374" s="10">
        <v>154</v>
      </c>
      <c r="D374" s="10">
        <v>14</v>
      </c>
      <c r="E374" s="11" t="s">
        <v>45</v>
      </c>
      <c r="F374" s="11" t="s">
        <v>46</v>
      </c>
      <c r="G374" t="s">
        <v>65</v>
      </c>
      <c r="H374" s="13">
        <v>45459</v>
      </c>
      <c r="I374" s="14" t="s">
        <v>452</v>
      </c>
      <c r="J374" t="s">
        <v>17</v>
      </c>
      <c r="K374" t="s">
        <v>34</v>
      </c>
      <c r="L374" s="12" t="s">
        <v>262</v>
      </c>
    </row>
    <row r="375" spans="1:12" x14ac:dyDescent="0.35">
      <c r="A375" t="s">
        <v>451</v>
      </c>
      <c r="B375" s="10">
        <v>6187</v>
      </c>
      <c r="C375" s="10">
        <v>2344</v>
      </c>
      <c r="D375" s="10">
        <v>15</v>
      </c>
      <c r="E375" s="11" t="s">
        <v>45</v>
      </c>
      <c r="F375" s="11" t="s">
        <v>109</v>
      </c>
      <c r="G375" t="s">
        <v>40</v>
      </c>
      <c r="H375" s="13">
        <v>45459</v>
      </c>
      <c r="I375" s="14" t="s">
        <v>452</v>
      </c>
      <c r="J375" t="s">
        <v>17</v>
      </c>
      <c r="K375" t="s">
        <v>34</v>
      </c>
      <c r="L375" s="12" t="s">
        <v>262</v>
      </c>
    </row>
    <row r="376" spans="1:12" x14ac:dyDescent="0.35">
      <c r="A376" t="s">
        <v>453</v>
      </c>
      <c r="B376" s="10">
        <v>4364</v>
      </c>
      <c r="C376" s="10">
        <v>148</v>
      </c>
      <c r="D376" s="10">
        <v>18</v>
      </c>
      <c r="E376" s="11" t="s">
        <v>45</v>
      </c>
      <c r="F376" s="11" t="s">
        <v>46</v>
      </c>
      <c r="G376" t="s">
        <v>40</v>
      </c>
      <c r="H376" s="13">
        <v>44757</v>
      </c>
      <c r="I376" s="14" t="s">
        <v>454</v>
      </c>
      <c r="J376" t="s">
        <v>98</v>
      </c>
      <c r="K376" t="s">
        <v>107</v>
      </c>
      <c r="L376" s="12" t="s">
        <v>418</v>
      </c>
    </row>
    <row r="377" spans="1:12" x14ac:dyDescent="0.35">
      <c r="A377" t="s">
        <v>453</v>
      </c>
      <c r="B377" s="10">
        <v>736</v>
      </c>
      <c r="C377" s="10">
        <v>286</v>
      </c>
      <c r="D377" s="10">
        <v>12</v>
      </c>
      <c r="E377" s="11" t="s">
        <v>30</v>
      </c>
      <c r="F377" s="11" t="s">
        <v>31</v>
      </c>
      <c r="G377" t="s">
        <v>40</v>
      </c>
      <c r="H377" s="13">
        <v>44757</v>
      </c>
      <c r="I377" s="14" t="s">
        <v>454</v>
      </c>
      <c r="J377" t="s">
        <v>98</v>
      </c>
      <c r="K377" t="s">
        <v>107</v>
      </c>
      <c r="L377" s="12" t="s">
        <v>418</v>
      </c>
    </row>
    <row r="378" spans="1:12" x14ac:dyDescent="0.35">
      <c r="A378" t="s">
        <v>455</v>
      </c>
      <c r="B378" s="10">
        <v>9905</v>
      </c>
      <c r="C378" s="10">
        <v>633</v>
      </c>
      <c r="D378" s="10">
        <v>17</v>
      </c>
      <c r="E378" s="11" t="s">
        <v>30</v>
      </c>
      <c r="F378" s="11" t="s">
        <v>31</v>
      </c>
      <c r="G378" t="s">
        <v>40</v>
      </c>
      <c r="H378" s="13">
        <v>44395</v>
      </c>
      <c r="I378" s="14" t="s">
        <v>456</v>
      </c>
      <c r="J378" t="s">
        <v>71</v>
      </c>
      <c r="K378" t="s">
        <v>72</v>
      </c>
      <c r="L378" s="12" t="s">
        <v>27</v>
      </c>
    </row>
    <row r="379" spans="1:12" x14ac:dyDescent="0.35">
      <c r="A379" t="s">
        <v>455</v>
      </c>
      <c r="B379" s="10">
        <v>9905</v>
      </c>
      <c r="C379" s="10">
        <v>633</v>
      </c>
      <c r="D379" s="10">
        <v>17</v>
      </c>
      <c r="E379" s="11" t="s">
        <v>30</v>
      </c>
      <c r="F379" s="11" t="s">
        <v>31</v>
      </c>
      <c r="G379" t="s">
        <v>40</v>
      </c>
      <c r="H379" s="13">
        <v>44471</v>
      </c>
      <c r="I379" s="14" t="s">
        <v>457</v>
      </c>
      <c r="J379" t="s">
        <v>17</v>
      </c>
      <c r="K379" t="s">
        <v>150</v>
      </c>
      <c r="L379" s="12" t="s">
        <v>37</v>
      </c>
    </row>
    <row r="380" spans="1:12" x14ac:dyDescent="0.35">
      <c r="A380" t="s">
        <v>458</v>
      </c>
      <c r="B380" s="10">
        <v>2493</v>
      </c>
      <c r="C380" s="10">
        <v>1221</v>
      </c>
      <c r="D380" s="10">
        <v>9</v>
      </c>
      <c r="E380" s="11" t="s">
        <v>30</v>
      </c>
      <c r="F380" s="11" t="s">
        <v>64</v>
      </c>
      <c r="G380" t="s">
        <v>47</v>
      </c>
      <c r="H380" s="13">
        <v>45398</v>
      </c>
      <c r="I380" s="14" t="s">
        <v>459</v>
      </c>
      <c r="J380" t="s">
        <v>21</v>
      </c>
      <c r="K380" t="s">
        <v>63</v>
      </c>
      <c r="L380" s="12" t="s">
        <v>235</v>
      </c>
    </row>
    <row r="381" spans="1:12" x14ac:dyDescent="0.35">
      <c r="A381" t="s">
        <v>458</v>
      </c>
      <c r="B381" s="10">
        <v>9849</v>
      </c>
      <c r="C381" s="10">
        <v>963</v>
      </c>
      <c r="D381" s="10">
        <v>1</v>
      </c>
      <c r="E381" s="11" t="s">
        <v>30</v>
      </c>
      <c r="F381" s="11" t="s">
        <v>31</v>
      </c>
      <c r="G381" t="s">
        <v>47</v>
      </c>
      <c r="H381" s="13">
        <v>45398</v>
      </c>
      <c r="I381" s="14" t="s">
        <v>459</v>
      </c>
      <c r="J381" t="s">
        <v>21</v>
      </c>
      <c r="K381" t="s">
        <v>63</v>
      </c>
      <c r="L381" s="12" t="s">
        <v>235</v>
      </c>
    </row>
    <row r="382" spans="1:12" x14ac:dyDescent="0.35">
      <c r="A382" t="s">
        <v>460</v>
      </c>
      <c r="B382" s="10">
        <v>3423</v>
      </c>
      <c r="C382" s="10">
        <v>804</v>
      </c>
      <c r="D382" s="10">
        <v>4</v>
      </c>
      <c r="E382" s="11" t="s">
        <v>13</v>
      </c>
      <c r="F382" s="11" t="s">
        <v>28</v>
      </c>
      <c r="G382" t="s">
        <v>47</v>
      </c>
      <c r="H382" s="13">
        <v>44021</v>
      </c>
      <c r="I382" s="14" t="s">
        <v>461</v>
      </c>
      <c r="J382" t="s">
        <v>21</v>
      </c>
      <c r="K382" t="s">
        <v>172</v>
      </c>
      <c r="L382" s="12" t="s">
        <v>462</v>
      </c>
    </row>
    <row r="383" spans="1:12" x14ac:dyDescent="0.35">
      <c r="A383" t="s">
        <v>460</v>
      </c>
      <c r="B383" s="10">
        <v>3423</v>
      </c>
      <c r="C383" s="10">
        <v>804</v>
      </c>
      <c r="D383" s="10">
        <v>4</v>
      </c>
      <c r="E383" s="11" t="s">
        <v>13</v>
      </c>
      <c r="F383" s="11" t="s">
        <v>28</v>
      </c>
      <c r="G383" t="s">
        <v>47</v>
      </c>
      <c r="H383" s="13">
        <v>44037</v>
      </c>
      <c r="I383" s="14" t="s">
        <v>463</v>
      </c>
      <c r="J383" t="s">
        <v>71</v>
      </c>
      <c r="K383" t="s">
        <v>72</v>
      </c>
      <c r="L383" s="12" t="s">
        <v>462</v>
      </c>
    </row>
    <row r="384" spans="1:12" x14ac:dyDescent="0.35">
      <c r="A384" t="s">
        <v>460</v>
      </c>
      <c r="B384" s="10">
        <v>3423</v>
      </c>
      <c r="C384" s="10">
        <v>804</v>
      </c>
      <c r="D384" s="10">
        <v>4</v>
      </c>
      <c r="E384" s="11" t="s">
        <v>13</v>
      </c>
      <c r="F384" s="11" t="s">
        <v>28</v>
      </c>
      <c r="G384" t="s">
        <v>47</v>
      </c>
      <c r="H384" s="13">
        <v>45315</v>
      </c>
      <c r="I384" s="14" t="s">
        <v>464</v>
      </c>
      <c r="J384" t="s">
        <v>71</v>
      </c>
      <c r="K384" t="s">
        <v>86</v>
      </c>
      <c r="L384" s="12" t="s">
        <v>76</v>
      </c>
    </row>
    <row r="385" spans="1:12" x14ac:dyDescent="0.35">
      <c r="A385" t="s">
        <v>460</v>
      </c>
      <c r="B385" s="10">
        <v>3423</v>
      </c>
      <c r="C385" s="10">
        <v>804</v>
      </c>
      <c r="D385" s="10">
        <v>4</v>
      </c>
      <c r="E385" s="11" t="s">
        <v>13</v>
      </c>
      <c r="F385" s="11" t="s">
        <v>28</v>
      </c>
      <c r="G385" t="s">
        <v>47</v>
      </c>
      <c r="H385" s="13">
        <v>43955</v>
      </c>
      <c r="I385" s="14" t="s">
        <v>465</v>
      </c>
      <c r="J385" t="s">
        <v>71</v>
      </c>
      <c r="K385" t="s">
        <v>72</v>
      </c>
      <c r="L385" s="12" t="s">
        <v>59</v>
      </c>
    </row>
    <row r="386" spans="1:12" x14ac:dyDescent="0.35">
      <c r="A386" t="s">
        <v>460</v>
      </c>
      <c r="B386" s="10">
        <v>3423</v>
      </c>
      <c r="C386" s="10">
        <v>804</v>
      </c>
      <c r="D386" s="10">
        <v>4</v>
      </c>
      <c r="E386" s="11" t="s">
        <v>13</v>
      </c>
      <c r="F386" s="11" t="s">
        <v>28</v>
      </c>
      <c r="G386" t="s">
        <v>47</v>
      </c>
      <c r="H386" s="13">
        <v>44513</v>
      </c>
      <c r="I386" s="14" t="s">
        <v>466</v>
      </c>
      <c r="J386" t="s">
        <v>98</v>
      </c>
      <c r="K386" t="s">
        <v>107</v>
      </c>
      <c r="L386" s="12" t="s">
        <v>175</v>
      </c>
    </row>
    <row r="387" spans="1:12" x14ac:dyDescent="0.35">
      <c r="A387" t="s">
        <v>467</v>
      </c>
      <c r="B387" s="10">
        <v>3900</v>
      </c>
      <c r="C387" s="10">
        <v>115</v>
      </c>
      <c r="D387" s="10">
        <v>9</v>
      </c>
      <c r="E387" s="11" t="s">
        <v>45</v>
      </c>
      <c r="F387" s="11" t="s">
        <v>49</v>
      </c>
      <c r="G387" t="s">
        <v>65</v>
      </c>
      <c r="H387" s="13">
        <v>45206</v>
      </c>
      <c r="I387" s="14" t="s">
        <v>468</v>
      </c>
      <c r="J387" t="s">
        <v>21</v>
      </c>
      <c r="K387" t="s">
        <v>63</v>
      </c>
      <c r="L387" s="12" t="s">
        <v>442</v>
      </c>
    </row>
    <row r="388" spans="1:12" x14ac:dyDescent="0.35">
      <c r="A388" t="s">
        <v>469</v>
      </c>
      <c r="B388" s="10">
        <v>8568</v>
      </c>
      <c r="C388" s="10">
        <v>2419</v>
      </c>
      <c r="D388" s="10">
        <v>11</v>
      </c>
      <c r="E388" s="11" t="s">
        <v>13</v>
      </c>
      <c r="F388" s="11" t="s">
        <v>14</v>
      </c>
      <c r="G388" t="s">
        <v>15</v>
      </c>
      <c r="H388" s="13">
        <v>44492</v>
      </c>
      <c r="I388" s="14" t="s">
        <v>470</v>
      </c>
      <c r="J388" t="s">
        <v>25</v>
      </c>
      <c r="K388" t="s">
        <v>68</v>
      </c>
      <c r="L388" s="12" t="s">
        <v>37</v>
      </c>
    </row>
    <row r="389" spans="1:12" x14ac:dyDescent="0.35">
      <c r="A389" t="s">
        <v>469</v>
      </c>
      <c r="B389" s="10">
        <v>3283</v>
      </c>
      <c r="C389" s="10">
        <v>71</v>
      </c>
      <c r="D389" s="10">
        <v>6</v>
      </c>
      <c r="E389" s="11" t="s">
        <v>30</v>
      </c>
      <c r="F389" s="11" t="s">
        <v>31</v>
      </c>
      <c r="G389" t="s">
        <v>40</v>
      </c>
      <c r="H389" s="13">
        <v>44492</v>
      </c>
      <c r="I389" s="14" t="s">
        <v>470</v>
      </c>
      <c r="J389" t="s">
        <v>25</v>
      </c>
      <c r="K389" t="s">
        <v>68</v>
      </c>
      <c r="L389" s="12" t="s">
        <v>37</v>
      </c>
    </row>
    <row r="390" spans="1:12" x14ac:dyDescent="0.35">
      <c r="A390" t="s">
        <v>471</v>
      </c>
      <c r="B390" s="10">
        <v>7643</v>
      </c>
      <c r="C390" s="10">
        <v>3720</v>
      </c>
      <c r="D390" s="10">
        <v>19</v>
      </c>
      <c r="E390" s="11" t="s">
        <v>13</v>
      </c>
      <c r="F390" s="11" t="s">
        <v>14</v>
      </c>
      <c r="G390" t="s">
        <v>40</v>
      </c>
      <c r="H390" s="13">
        <v>44760</v>
      </c>
      <c r="I390" s="14" t="s">
        <v>472</v>
      </c>
      <c r="J390" t="s">
        <v>71</v>
      </c>
      <c r="K390" t="s">
        <v>72</v>
      </c>
      <c r="L390" s="12" t="s">
        <v>418</v>
      </c>
    </row>
    <row r="391" spans="1:12" x14ac:dyDescent="0.35">
      <c r="A391" t="s">
        <v>473</v>
      </c>
      <c r="B391" s="10">
        <v>3461</v>
      </c>
      <c r="C391" s="10">
        <v>1537</v>
      </c>
      <c r="D391" s="10">
        <v>15</v>
      </c>
      <c r="E391" s="11" t="s">
        <v>45</v>
      </c>
      <c r="F391" s="11" t="s">
        <v>60</v>
      </c>
      <c r="G391" t="s">
        <v>40</v>
      </c>
      <c r="H391" s="13">
        <v>45527</v>
      </c>
      <c r="I391" s="14" t="s">
        <v>474</v>
      </c>
      <c r="J391" t="s">
        <v>21</v>
      </c>
      <c r="K391" t="s">
        <v>22</v>
      </c>
      <c r="L391" s="12" t="s">
        <v>114</v>
      </c>
    </row>
    <row r="392" spans="1:12" x14ac:dyDescent="0.35">
      <c r="A392" t="s">
        <v>473</v>
      </c>
      <c r="B392" s="10">
        <v>5714</v>
      </c>
      <c r="C392" s="10">
        <v>1438</v>
      </c>
      <c r="D392" s="10">
        <v>6</v>
      </c>
      <c r="E392" s="11" t="s">
        <v>13</v>
      </c>
      <c r="F392" s="11" t="s">
        <v>14</v>
      </c>
      <c r="G392" t="s">
        <v>47</v>
      </c>
      <c r="H392" s="13">
        <v>45527</v>
      </c>
      <c r="I392" s="14" t="s">
        <v>474</v>
      </c>
      <c r="J392" t="s">
        <v>21</v>
      </c>
      <c r="K392" t="s">
        <v>22</v>
      </c>
      <c r="L392" s="12" t="s">
        <v>114</v>
      </c>
    </row>
    <row r="393" spans="1:12" x14ac:dyDescent="0.35">
      <c r="A393" t="s">
        <v>473</v>
      </c>
      <c r="B393" s="10">
        <v>3853</v>
      </c>
      <c r="C393" s="10">
        <v>1457</v>
      </c>
      <c r="D393" s="10">
        <v>10</v>
      </c>
      <c r="E393" s="11" t="s">
        <v>30</v>
      </c>
      <c r="F393" s="11" t="s">
        <v>78</v>
      </c>
      <c r="G393" t="s">
        <v>65</v>
      </c>
      <c r="H393" s="13">
        <v>45527</v>
      </c>
      <c r="I393" s="14" t="s">
        <v>474</v>
      </c>
      <c r="J393" t="s">
        <v>21</v>
      </c>
      <c r="K393" t="s">
        <v>22</v>
      </c>
      <c r="L393" s="12" t="s">
        <v>114</v>
      </c>
    </row>
    <row r="394" spans="1:12" x14ac:dyDescent="0.35">
      <c r="A394" t="s">
        <v>475</v>
      </c>
      <c r="B394" s="10">
        <v>6016</v>
      </c>
      <c r="C394" s="10">
        <v>431</v>
      </c>
      <c r="D394" s="10">
        <v>20</v>
      </c>
      <c r="E394" s="11" t="s">
        <v>30</v>
      </c>
      <c r="F394" s="11" t="s">
        <v>31</v>
      </c>
      <c r="G394" t="s">
        <v>15</v>
      </c>
      <c r="H394" s="13">
        <v>44132</v>
      </c>
      <c r="I394" s="14" t="s">
        <v>476</v>
      </c>
      <c r="J394" t="s">
        <v>21</v>
      </c>
      <c r="K394" t="s">
        <v>22</v>
      </c>
      <c r="L394" s="12" t="s">
        <v>119</v>
      </c>
    </row>
    <row r="395" spans="1:12" x14ac:dyDescent="0.35">
      <c r="A395" t="s">
        <v>477</v>
      </c>
      <c r="B395" s="10">
        <v>1290</v>
      </c>
      <c r="C395" s="10">
        <v>204</v>
      </c>
      <c r="D395" s="10">
        <v>12</v>
      </c>
      <c r="E395" s="11" t="s">
        <v>30</v>
      </c>
      <c r="F395" s="11" t="s">
        <v>57</v>
      </c>
      <c r="G395" t="s">
        <v>15</v>
      </c>
      <c r="H395" s="13">
        <v>45458</v>
      </c>
      <c r="I395" s="14" t="s">
        <v>478</v>
      </c>
      <c r="J395" t="s">
        <v>25</v>
      </c>
      <c r="K395" t="s">
        <v>26</v>
      </c>
      <c r="L395" s="12" t="s">
        <v>262</v>
      </c>
    </row>
    <row r="396" spans="1:12" x14ac:dyDescent="0.35">
      <c r="A396" t="s">
        <v>477</v>
      </c>
      <c r="B396" s="10">
        <v>1290</v>
      </c>
      <c r="C396" s="10">
        <v>204</v>
      </c>
      <c r="D396" s="10">
        <v>12</v>
      </c>
      <c r="E396" s="11" t="s">
        <v>30</v>
      </c>
      <c r="F396" s="11" t="s">
        <v>57</v>
      </c>
      <c r="G396" t="s">
        <v>15</v>
      </c>
      <c r="H396" s="13">
        <v>45645</v>
      </c>
      <c r="I396" s="14" t="s">
        <v>479</v>
      </c>
      <c r="J396" t="s">
        <v>42</v>
      </c>
      <c r="K396" t="s">
        <v>92</v>
      </c>
      <c r="L396" s="12" t="s">
        <v>23</v>
      </c>
    </row>
    <row r="397" spans="1:12" x14ac:dyDescent="0.35">
      <c r="A397" t="s">
        <v>480</v>
      </c>
      <c r="B397" s="10">
        <v>4569</v>
      </c>
      <c r="C397" s="10">
        <v>1693</v>
      </c>
      <c r="D397" s="10">
        <v>10</v>
      </c>
      <c r="E397" s="11" t="s">
        <v>13</v>
      </c>
      <c r="F397" s="11" t="s">
        <v>28</v>
      </c>
      <c r="G397" t="s">
        <v>15</v>
      </c>
      <c r="H397" s="13">
        <v>44078</v>
      </c>
      <c r="I397" s="14" t="s">
        <v>481</v>
      </c>
      <c r="J397" t="s">
        <v>21</v>
      </c>
      <c r="K397" t="s">
        <v>63</v>
      </c>
      <c r="L397" s="12" t="s">
        <v>389</v>
      </c>
    </row>
    <row r="398" spans="1:12" x14ac:dyDescent="0.35">
      <c r="A398" t="s">
        <v>482</v>
      </c>
      <c r="B398" s="10">
        <v>3083</v>
      </c>
      <c r="C398" s="10">
        <v>1151</v>
      </c>
      <c r="D398" s="10">
        <v>16</v>
      </c>
      <c r="E398" s="11" t="s">
        <v>45</v>
      </c>
      <c r="F398" s="11" t="s">
        <v>109</v>
      </c>
      <c r="G398" t="s">
        <v>32</v>
      </c>
      <c r="H398" s="13">
        <v>44667</v>
      </c>
      <c r="I398" s="14" t="s">
        <v>483</v>
      </c>
      <c r="J398" t="s">
        <v>17</v>
      </c>
      <c r="K398" t="s">
        <v>34</v>
      </c>
      <c r="L398" s="12" t="s">
        <v>187</v>
      </c>
    </row>
    <row r="399" spans="1:12" x14ac:dyDescent="0.35">
      <c r="A399" t="s">
        <v>484</v>
      </c>
      <c r="B399" s="10">
        <v>3522</v>
      </c>
      <c r="C399" s="10">
        <v>898</v>
      </c>
      <c r="D399" s="10">
        <v>15</v>
      </c>
      <c r="E399" s="11" t="s">
        <v>30</v>
      </c>
      <c r="F399" s="11" t="s">
        <v>31</v>
      </c>
      <c r="G399" t="s">
        <v>47</v>
      </c>
      <c r="H399" s="13">
        <v>45533</v>
      </c>
      <c r="I399" s="14" t="s">
        <v>485</v>
      </c>
      <c r="J399" t="s">
        <v>98</v>
      </c>
      <c r="K399" t="s">
        <v>117</v>
      </c>
      <c r="L399" s="12" t="s">
        <v>114</v>
      </c>
    </row>
    <row r="400" spans="1:12" x14ac:dyDescent="0.35">
      <c r="A400" t="s">
        <v>484</v>
      </c>
      <c r="B400" s="10">
        <v>3522</v>
      </c>
      <c r="C400" s="10">
        <v>898</v>
      </c>
      <c r="D400" s="10">
        <v>15</v>
      </c>
      <c r="E400" s="11" t="s">
        <v>30</v>
      </c>
      <c r="F400" s="11" t="s">
        <v>31</v>
      </c>
      <c r="G400" t="s">
        <v>47</v>
      </c>
      <c r="H400" s="13">
        <v>44575</v>
      </c>
      <c r="I400" s="14" t="s">
        <v>486</v>
      </c>
      <c r="J400" t="s">
        <v>42</v>
      </c>
      <c r="K400" t="s">
        <v>43</v>
      </c>
      <c r="L400" s="12" t="s">
        <v>87</v>
      </c>
    </row>
    <row r="401" spans="1:12" x14ac:dyDescent="0.35">
      <c r="A401" t="s">
        <v>487</v>
      </c>
      <c r="B401" s="10">
        <v>7301</v>
      </c>
      <c r="C401" s="10">
        <v>3602</v>
      </c>
      <c r="D401" s="10">
        <v>3</v>
      </c>
      <c r="E401" s="11" t="s">
        <v>30</v>
      </c>
      <c r="F401" s="11" t="s">
        <v>78</v>
      </c>
      <c r="G401" t="s">
        <v>32</v>
      </c>
      <c r="H401" s="13">
        <v>45389</v>
      </c>
      <c r="I401" s="14" t="s">
        <v>488</v>
      </c>
      <c r="J401" t="s">
        <v>71</v>
      </c>
      <c r="K401" t="s">
        <v>138</v>
      </c>
      <c r="L401" s="12" t="s">
        <v>235</v>
      </c>
    </row>
    <row r="402" spans="1:12" x14ac:dyDescent="0.35">
      <c r="A402" t="s">
        <v>489</v>
      </c>
      <c r="B402" s="10">
        <v>4462</v>
      </c>
      <c r="C402" s="10">
        <v>121</v>
      </c>
      <c r="D402" s="10">
        <v>8</v>
      </c>
      <c r="E402" s="11" t="s">
        <v>13</v>
      </c>
      <c r="F402" s="11" t="s">
        <v>39</v>
      </c>
      <c r="G402" t="s">
        <v>65</v>
      </c>
      <c r="H402" s="13">
        <v>44675</v>
      </c>
      <c r="I402" s="14" t="s">
        <v>490</v>
      </c>
      <c r="J402" t="s">
        <v>21</v>
      </c>
      <c r="K402" t="s">
        <v>63</v>
      </c>
      <c r="L402" s="12" t="s">
        <v>187</v>
      </c>
    </row>
    <row r="403" spans="1:12" x14ac:dyDescent="0.35">
      <c r="A403" t="s">
        <v>489</v>
      </c>
      <c r="B403" s="10">
        <v>6212</v>
      </c>
      <c r="C403" s="10">
        <v>1881</v>
      </c>
      <c r="D403" s="10">
        <v>17</v>
      </c>
      <c r="E403" s="11" t="s">
        <v>13</v>
      </c>
      <c r="F403" s="11" t="s">
        <v>82</v>
      </c>
      <c r="G403" t="s">
        <v>65</v>
      </c>
      <c r="H403" s="13">
        <v>44675</v>
      </c>
      <c r="I403" s="14" t="s">
        <v>490</v>
      </c>
      <c r="J403" t="s">
        <v>21</v>
      </c>
      <c r="K403" t="s">
        <v>63</v>
      </c>
      <c r="L403" s="12" t="s">
        <v>187</v>
      </c>
    </row>
    <row r="404" spans="1:12" x14ac:dyDescent="0.35">
      <c r="A404" t="s">
        <v>491</v>
      </c>
      <c r="B404" s="10">
        <v>4027</v>
      </c>
      <c r="C404" s="10">
        <v>1386</v>
      </c>
      <c r="D404" s="10">
        <v>3</v>
      </c>
      <c r="E404" s="11" t="s">
        <v>45</v>
      </c>
      <c r="F404" s="11" t="s">
        <v>109</v>
      </c>
      <c r="G404" t="s">
        <v>40</v>
      </c>
      <c r="H404" s="13">
        <v>44070</v>
      </c>
      <c r="I404" s="14" t="s">
        <v>492</v>
      </c>
      <c r="J404" t="s">
        <v>17</v>
      </c>
      <c r="K404" t="s">
        <v>150</v>
      </c>
      <c r="L404" s="12" t="s">
        <v>185</v>
      </c>
    </row>
    <row r="405" spans="1:12" x14ac:dyDescent="0.35">
      <c r="A405" t="s">
        <v>493</v>
      </c>
      <c r="B405" s="10">
        <v>1676</v>
      </c>
      <c r="C405" s="10">
        <v>330</v>
      </c>
      <c r="D405" s="10">
        <v>14</v>
      </c>
      <c r="E405" s="11" t="s">
        <v>13</v>
      </c>
      <c r="F405" s="11" t="s">
        <v>39</v>
      </c>
      <c r="G405" t="s">
        <v>40</v>
      </c>
      <c r="H405" s="13">
        <v>44986</v>
      </c>
      <c r="I405" s="14" t="s">
        <v>494</v>
      </c>
      <c r="J405" t="s">
        <v>98</v>
      </c>
      <c r="K405" t="s">
        <v>117</v>
      </c>
      <c r="L405" s="12" t="s">
        <v>245</v>
      </c>
    </row>
    <row r="406" spans="1:12" x14ac:dyDescent="0.35">
      <c r="A406" t="s">
        <v>493</v>
      </c>
      <c r="B406" s="10">
        <v>3927</v>
      </c>
      <c r="C406" s="10">
        <v>1133</v>
      </c>
      <c r="D406" s="10">
        <v>12</v>
      </c>
      <c r="E406" s="11" t="s">
        <v>45</v>
      </c>
      <c r="F406" s="11" t="s">
        <v>109</v>
      </c>
      <c r="G406" t="s">
        <v>65</v>
      </c>
      <c r="H406" s="13">
        <v>44986</v>
      </c>
      <c r="I406" s="14" t="s">
        <v>494</v>
      </c>
      <c r="J406" t="s">
        <v>98</v>
      </c>
      <c r="K406" t="s">
        <v>117</v>
      </c>
      <c r="L406" s="12" t="s">
        <v>245</v>
      </c>
    </row>
    <row r="407" spans="1:12" x14ac:dyDescent="0.35">
      <c r="A407" t="s">
        <v>493</v>
      </c>
      <c r="B407" s="10">
        <v>2776</v>
      </c>
      <c r="C407" s="10">
        <v>887</v>
      </c>
      <c r="D407" s="10">
        <v>9</v>
      </c>
      <c r="E407" s="11" t="s">
        <v>13</v>
      </c>
      <c r="F407" s="11" t="s">
        <v>82</v>
      </c>
      <c r="G407" t="s">
        <v>32</v>
      </c>
      <c r="H407" s="13">
        <v>44986</v>
      </c>
      <c r="I407" s="14" t="s">
        <v>494</v>
      </c>
      <c r="J407" t="s">
        <v>98</v>
      </c>
      <c r="K407" t="s">
        <v>117</v>
      </c>
      <c r="L407" s="12" t="s">
        <v>245</v>
      </c>
    </row>
    <row r="408" spans="1:12" x14ac:dyDescent="0.35">
      <c r="A408" t="s">
        <v>495</v>
      </c>
      <c r="B408" s="10">
        <v>7684</v>
      </c>
      <c r="C408" s="10">
        <v>1157</v>
      </c>
      <c r="D408" s="10">
        <v>12</v>
      </c>
      <c r="E408" s="11" t="s">
        <v>45</v>
      </c>
      <c r="F408" s="11" t="s">
        <v>60</v>
      </c>
      <c r="G408" t="s">
        <v>65</v>
      </c>
      <c r="H408" s="13">
        <v>44106</v>
      </c>
      <c r="I408" s="14" t="s">
        <v>496</v>
      </c>
      <c r="J408" t="s">
        <v>21</v>
      </c>
      <c r="K408" t="s">
        <v>22</v>
      </c>
      <c r="L408" s="12" t="s">
        <v>119</v>
      </c>
    </row>
    <row r="409" spans="1:12" x14ac:dyDescent="0.35">
      <c r="A409" t="s">
        <v>495</v>
      </c>
      <c r="B409" s="10">
        <v>7684</v>
      </c>
      <c r="C409" s="10">
        <v>1157</v>
      </c>
      <c r="D409" s="10">
        <v>12</v>
      </c>
      <c r="E409" s="11" t="s">
        <v>45</v>
      </c>
      <c r="F409" s="11" t="s">
        <v>60</v>
      </c>
      <c r="G409" t="s">
        <v>65</v>
      </c>
      <c r="H409" s="13">
        <v>44005</v>
      </c>
      <c r="I409" s="14" t="s">
        <v>497</v>
      </c>
      <c r="J409" t="s">
        <v>25</v>
      </c>
      <c r="K409" t="s">
        <v>26</v>
      </c>
      <c r="L409" s="12" t="s">
        <v>313</v>
      </c>
    </row>
    <row r="410" spans="1:12" x14ac:dyDescent="0.35">
      <c r="A410" t="s">
        <v>495</v>
      </c>
      <c r="B410" s="10">
        <v>7684</v>
      </c>
      <c r="C410" s="10">
        <v>1157</v>
      </c>
      <c r="D410" s="10">
        <v>12</v>
      </c>
      <c r="E410" s="11" t="s">
        <v>45</v>
      </c>
      <c r="F410" s="11" t="s">
        <v>60</v>
      </c>
      <c r="G410" t="s">
        <v>65</v>
      </c>
      <c r="H410" s="13">
        <v>45159</v>
      </c>
      <c r="I410" s="14" t="s">
        <v>498</v>
      </c>
      <c r="J410" t="s">
        <v>98</v>
      </c>
      <c r="K410" t="s">
        <v>99</v>
      </c>
      <c r="L410" s="12" t="s">
        <v>121</v>
      </c>
    </row>
    <row r="411" spans="1:12" x14ac:dyDescent="0.35">
      <c r="A411" t="s">
        <v>499</v>
      </c>
      <c r="B411" s="10">
        <v>6008</v>
      </c>
      <c r="C411" s="10">
        <v>2498</v>
      </c>
      <c r="D411" s="10">
        <v>17</v>
      </c>
      <c r="E411" s="11" t="s">
        <v>13</v>
      </c>
      <c r="F411" s="11" t="s">
        <v>82</v>
      </c>
      <c r="G411" t="s">
        <v>47</v>
      </c>
      <c r="H411" s="13">
        <v>44758</v>
      </c>
      <c r="I411" s="14" t="s">
        <v>500</v>
      </c>
      <c r="J411" t="s">
        <v>17</v>
      </c>
      <c r="K411" t="s">
        <v>18</v>
      </c>
      <c r="L411" s="12" t="s">
        <v>418</v>
      </c>
    </row>
    <row r="412" spans="1:12" x14ac:dyDescent="0.35">
      <c r="A412" t="s">
        <v>501</v>
      </c>
      <c r="B412" s="10">
        <v>7344</v>
      </c>
      <c r="C412" s="10">
        <v>2598</v>
      </c>
      <c r="D412" s="10">
        <v>20</v>
      </c>
      <c r="E412" s="11" t="s">
        <v>45</v>
      </c>
      <c r="F412" s="11" t="s">
        <v>109</v>
      </c>
      <c r="G412" t="s">
        <v>65</v>
      </c>
      <c r="H412" s="13">
        <v>44774</v>
      </c>
      <c r="I412" s="14" t="s">
        <v>502</v>
      </c>
      <c r="J412" t="s">
        <v>71</v>
      </c>
      <c r="K412" t="s">
        <v>72</v>
      </c>
      <c r="L412" s="12" t="s">
        <v>209</v>
      </c>
    </row>
    <row r="413" spans="1:12" x14ac:dyDescent="0.35">
      <c r="A413" t="s">
        <v>503</v>
      </c>
      <c r="B413" s="10">
        <v>6932</v>
      </c>
      <c r="C413" s="10">
        <v>3218</v>
      </c>
      <c r="D413" s="10">
        <v>20</v>
      </c>
      <c r="E413" s="11" t="s">
        <v>30</v>
      </c>
      <c r="F413" s="11" t="s">
        <v>31</v>
      </c>
      <c r="G413" t="s">
        <v>65</v>
      </c>
      <c r="H413" s="13">
        <v>44028</v>
      </c>
      <c r="I413" s="14" t="s">
        <v>504</v>
      </c>
      <c r="J413" t="s">
        <v>17</v>
      </c>
      <c r="K413" t="s">
        <v>34</v>
      </c>
      <c r="L413" s="12" t="s">
        <v>462</v>
      </c>
    </row>
    <row r="414" spans="1:12" x14ac:dyDescent="0.35">
      <c r="A414" t="s">
        <v>505</v>
      </c>
      <c r="B414" s="10">
        <v>7748</v>
      </c>
      <c r="C414" s="10">
        <v>1706</v>
      </c>
      <c r="D414" s="10">
        <v>16</v>
      </c>
      <c r="E414" s="11" t="s">
        <v>13</v>
      </c>
      <c r="F414" s="11" t="s">
        <v>14</v>
      </c>
      <c r="G414" t="s">
        <v>40</v>
      </c>
      <c r="H414" s="13">
        <v>43953</v>
      </c>
      <c r="I414" s="14" t="s">
        <v>506</v>
      </c>
      <c r="J414" t="s">
        <v>98</v>
      </c>
      <c r="K414" t="s">
        <v>107</v>
      </c>
      <c r="L414" s="12" t="s">
        <v>59</v>
      </c>
    </row>
    <row r="415" spans="1:12" x14ac:dyDescent="0.35">
      <c r="A415" t="s">
        <v>505</v>
      </c>
      <c r="B415" s="10">
        <v>6381</v>
      </c>
      <c r="C415" s="10">
        <v>2763</v>
      </c>
      <c r="D415" s="10">
        <v>20</v>
      </c>
      <c r="E415" s="11" t="s">
        <v>30</v>
      </c>
      <c r="F415" s="11" t="s">
        <v>57</v>
      </c>
      <c r="G415" t="s">
        <v>15</v>
      </c>
      <c r="H415" s="13">
        <v>43953</v>
      </c>
      <c r="I415" s="14" t="s">
        <v>506</v>
      </c>
      <c r="J415" t="s">
        <v>98</v>
      </c>
      <c r="K415" t="s">
        <v>107</v>
      </c>
      <c r="L415" s="12" t="s">
        <v>59</v>
      </c>
    </row>
    <row r="416" spans="1:12" x14ac:dyDescent="0.35">
      <c r="A416" t="s">
        <v>505</v>
      </c>
      <c r="B416" s="10">
        <v>992</v>
      </c>
      <c r="C416" s="10">
        <v>64</v>
      </c>
      <c r="D416" s="10">
        <v>6</v>
      </c>
      <c r="E416" s="11" t="s">
        <v>13</v>
      </c>
      <c r="F416" s="11" t="s">
        <v>82</v>
      </c>
      <c r="G416" t="s">
        <v>47</v>
      </c>
      <c r="H416" s="13">
        <v>43953</v>
      </c>
      <c r="I416" s="14" t="s">
        <v>506</v>
      </c>
      <c r="J416" t="s">
        <v>98</v>
      </c>
      <c r="K416" t="s">
        <v>107</v>
      </c>
      <c r="L416" s="12" t="s">
        <v>59</v>
      </c>
    </row>
    <row r="417" spans="1:12" x14ac:dyDescent="0.35">
      <c r="A417" t="s">
        <v>507</v>
      </c>
      <c r="B417" s="10">
        <v>8649</v>
      </c>
      <c r="C417" s="10">
        <v>2631</v>
      </c>
      <c r="D417" s="10">
        <v>13</v>
      </c>
      <c r="E417" s="11" t="s">
        <v>13</v>
      </c>
      <c r="F417" s="11" t="s">
        <v>39</v>
      </c>
      <c r="G417" t="s">
        <v>40</v>
      </c>
      <c r="H417" s="13">
        <v>45301</v>
      </c>
      <c r="I417" s="14" t="s">
        <v>508</v>
      </c>
      <c r="J417" t="s">
        <v>42</v>
      </c>
      <c r="K417" t="s">
        <v>92</v>
      </c>
      <c r="L417" s="12" t="s">
        <v>76</v>
      </c>
    </row>
    <row r="418" spans="1:12" x14ac:dyDescent="0.35">
      <c r="A418" t="s">
        <v>507</v>
      </c>
      <c r="B418" s="10">
        <v>8649</v>
      </c>
      <c r="C418" s="10">
        <v>2631</v>
      </c>
      <c r="D418" s="10">
        <v>13</v>
      </c>
      <c r="E418" s="11" t="s">
        <v>13</v>
      </c>
      <c r="F418" s="11" t="s">
        <v>39</v>
      </c>
      <c r="G418" t="s">
        <v>40</v>
      </c>
      <c r="H418" s="13">
        <v>44104</v>
      </c>
      <c r="I418" s="14" t="s">
        <v>509</v>
      </c>
      <c r="J418" t="s">
        <v>25</v>
      </c>
      <c r="K418" t="s">
        <v>68</v>
      </c>
      <c r="L418" s="12" t="s">
        <v>389</v>
      </c>
    </row>
    <row r="419" spans="1:12" x14ac:dyDescent="0.35">
      <c r="A419" t="s">
        <v>510</v>
      </c>
      <c r="B419" s="10">
        <v>4099</v>
      </c>
      <c r="C419" s="10">
        <v>52</v>
      </c>
      <c r="D419" s="10">
        <v>18</v>
      </c>
      <c r="E419" s="11" t="s">
        <v>13</v>
      </c>
      <c r="F419" s="11" t="s">
        <v>39</v>
      </c>
      <c r="G419" t="s">
        <v>15</v>
      </c>
      <c r="H419" s="13">
        <v>44648</v>
      </c>
      <c r="I419" s="14" t="s">
        <v>511</v>
      </c>
      <c r="J419" t="s">
        <v>25</v>
      </c>
      <c r="K419" t="s">
        <v>51</v>
      </c>
      <c r="L419" s="12" t="s">
        <v>134</v>
      </c>
    </row>
    <row r="420" spans="1:12" x14ac:dyDescent="0.35">
      <c r="A420" t="s">
        <v>512</v>
      </c>
      <c r="B420" s="10">
        <v>2539</v>
      </c>
      <c r="C420" s="10">
        <v>324</v>
      </c>
      <c r="D420" s="10">
        <v>5</v>
      </c>
      <c r="E420" s="11" t="s">
        <v>13</v>
      </c>
      <c r="F420" s="11" t="s">
        <v>14</v>
      </c>
      <c r="G420" t="s">
        <v>15</v>
      </c>
      <c r="H420" s="13">
        <v>44226</v>
      </c>
      <c r="I420" s="14" t="s">
        <v>513</v>
      </c>
      <c r="J420" t="s">
        <v>42</v>
      </c>
      <c r="K420" t="s">
        <v>92</v>
      </c>
      <c r="L420" s="12" t="s">
        <v>276</v>
      </c>
    </row>
    <row r="421" spans="1:12" x14ac:dyDescent="0.35">
      <c r="A421" t="s">
        <v>514</v>
      </c>
      <c r="B421" s="10">
        <v>9845</v>
      </c>
      <c r="C421" s="10">
        <v>3062</v>
      </c>
      <c r="D421" s="10">
        <v>9</v>
      </c>
      <c r="E421" s="11" t="s">
        <v>30</v>
      </c>
      <c r="F421" s="11" t="s">
        <v>64</v>
      </c>
      <c r="G421" t="s">
        <v>65</v>
      </c>
      <c r="H421" s="13">
        <v>45730</v>
      </c>
      <c r="I421" s="14" t="s">
        <v>515</v>
      </c>
      <c r="J421" t="s">
        <v>17</v>
      </c>
      <c r="K421" t="s">
        <v>34</v>
      </c>
      <c r="L421" s="12" t="s">
        <v>157</v>
      </c>
    </row>
    <row r="422" spans="1:12" x14ac:dyDescent="0.35">
      <c r="A422" t="s">
        <v>516</v>
      </c>
      <c r="B422" s="10">
        <v>2901</v>
      </c>
      <c r="C422" s="10">
        <v>1411</v>
      </c>
      <c r="D422" s="10">
        <v>2</v>
      </c>
      <c r="E422" s="11" t="s">
        <v>30</v>
      </c>
      <c r="F422" s="11" t="s">
        <v>64</v>
      </c>
      <c r="G422" t="s">
        <v>32</v>
      </c>
      <c r="H422" s="13">
        <v>44495</v>
      </c>
      <c r="I422" s="14" t="s">
        <v>517</v>
      </c>
      <c r="J422" t="s">
        <v>71</v>
      </c>
      <c r="K422" t="s">
        <v>86</v>
      </c>
      <c r="L422" s="12" t="s">
        <v>37</v>
      </c>
    </row>
    <row r="423" spans="1:12" x14ac:dyDescent="0.35">
      <c r="A423" t="s">
        <v>516</v>
      </c>
      <c r="B423" s="10">
        <v>2901</v>
      </c>
      <c r="C423" s="10">
        <v>1411</v>
      </c>
      <c r="D423" s="10">
        <v>2</v>
      </c>
      <c r="E423" s="11" t="s">
        <v>30</v>
      </c>
      <c r="F423" s="11" t="s">
        <v>64</v>
      </c>
      <c r="G423" t="s">
        <v>32</v>
      </c>
      <c r="H423" s="13">
        <v>44937</v>
      </c>
      <c r="I423" s="14" t="s">
        <v>518</v>
      </c>
      <c r="J423" t="s">
        <v>42</v>
      </c>
      <c r="K423" t="s">
        <v>43</v>
      </c>
      <c r="L423" s="12" t="s">
        <v>333</v>
      </c>
    </row>
    <row r="424" spans="1:12" x14ac:dyDescent="0.35">
      <c r="A424" t="s">
        <v>516</v>
      </c>
      <c r="B424" s="10">
        <v>6934</v>
      </c>
      <c r="C424" s="10">
        <v>1152</v>
      </c>
      <c r="D424" s="10">
        <v>6</v>
      </c>
      <c r="E424" s="11" t="s">
        <v>30</v>
      </c>
      <c r="F424" s="11" t="s">
        <v>31</v>
      </c>
      <c r="G424" t="s">
        <v>47</v>
      </c>
      <c r="H424" s="13">
        <v>44495</v>
      </c>
      <c r="I424" s="14" t="s">
        <v>517</v>
      </c>
      <c r="J424" t="s">
        <v>71</v>
      </c>
      <c r="K424" t="s">
        <v>86</v>
      </c>
      <c r="L424" s="12" t="s">
        <v>37</v>
      </c>
    </row>
    <row r="425" spans="1:12" x14ac:dyDescent="0.35">
      <c r="A425" t="s">
        <v>516</v>
      </c>
      <c r="B425" s="10">
        <v>6934</v>
      </c>
      <c r="C425" s="10">
        <v>1152</v>
      </c>
      <c r="D425" s="10">
        <v>6</v>
      </c>
      <c r="E425" s="11" t="s">
        <v>30</v>
      </c>
      <c r="F425" s="11" t="s">
        <v>31</v>
      </c>
      <c r="G425" t="s">
        <v>47</v>
      </c>
      <c r="H425" s="13">
        <v>44937</v>
      </c>
      <c r="I425" s="14" t="s">
        <v>518</v>
      </c>
      <c r="J425" t="s">
        <v>42</v>
      </c>
      <c r="K425" t="s">
        <v>43</v>
      </c>
      <c r="L425" s="12" t="s">
        <v>333</v>
      </c>
    </row>
    <row r="426" spans="1:12" x14ac:dyDescent="0.35">
      <c r="A426" t="s">
        <v>519</v>
      </c>
      <c r="B426" s="10">
        <v>9640</v>
      </c>
      <c r="C426" s="10">
        <v>2606</v>
      </c>
      <c r="D426" s="10">
        <v>2</v>
      </c>
      <c r="E426" s="11" t="s">
        <v>45</v>
      </c>
      <c r="F426" s="11" t="s">
        <v>109</v>
      </c>
      <c r="G426" t="s">
        <v>47</v>
      </c>
      <c r="H426" s="13">
        <v>44500</v>
      </c>
      <c r="I426" s="14" t="s">
        <v>520</v>
      </c>
      <c r="J426" t="s">
        <v>21</v>
      </c>
      <c r="K426" t="s">
        <v>172</v>
      </c>
      <c r="L426" s="12" t="s">
        <v>37</v>
      </c>
    </row>
    <row r="427" spans="1:12" x14ac:dyDescent="0.35">
      <c r="A427" t="s">
        <v>521</v>
      </c>
      <c r="B427" s="10">
        <v>7930</v>
      </c>
      <c r="C427" s="10">
        <v>1981</v>
      </c>
      <c r="D427" s="10">
        <v>13</v>
      </c>
      <c r="E427" s="11" t="s">
        <v>45</v>
      </c>
      <c r="F427" s="11" t="s">
        <v>49</v>
      </c>
      <c r="G427" t="s">
        <v>47</v>
      </c>
      <c r="H427" s="13">
        <v>45050</v>
      </c>
      <c r="I427" s="14" t="s">
        <v>522</v>
      </c>
      <c r="J427" t="s">
        <v>98</v>
      </c>
      <c r="K427" t="s">
        <v>117</v>
      </c>
      <c r="L427" s="12" t="s">
        <v>127</v>
      </c>
    </row>
    <row r="428" spans="1:12" x14ac:dyDescent="0.35">
      <c r="A428" t="s">
        <v>521</v>
      </c>
      <c r="B428" s="10">
        <v>7930</v>
      </c>
      <c r="C428" s="10">
        <v>1981</v>
      </c>
      <c r="D428" s="10">
        <v>13</v>
      </c>
      <c r="E428" s="11" t="s">
        <v>45</v>
      </c>
      <c r="F428" s="11" t="s">
        <v>49</v>
      </c>
      <c r="G428" t="s">
        <v>47</v>
      </c>
      <c r="H428" s="13">
        <v>45513</v>
      </c>
      <c r="I428" s="14" t="s">
        <v>523</v>
      </c>
      <c r="J428" t="s">
        <v>21</v>
      </c>
      <c r="K428" t="s">
        <v>63</v>
      </c>
      <c r="L428" s="12" t="s">
        <v>114</v>
      </c>
    </row>
    <row r="429" spans="1:12" x14ac:dyDescent="0.35">
      <c r="A429" t="s">
        <v>524</v>
      </c>
      <c r="B429" s="10">
        <v>9894</v>
      </c>
      <c r="C429" s="10">
        <v>829</v>
      </c>
      <c r="D429" s="10">
        <v>1</v>
      </c>
      <c r="E429" s="11" t="s">
        <v>30</v>
      </c>
      <c r="F429" s="11" t="s">
        <v>78</v>
      </c>
      <c r="G429" t="s">
        <v>65</v>
      </c>
      <c r="H429" s="13">
        <v>44794</v>
      </c>
      <c r="I429" s="14" t="s">
        <v>525</v>
      </c>
      <c r="J429" t="s">
        <v>42</v>
      </c>
      <c r="K429" t="s">
        <v>75</v>
      </c>
      <c r="L429" s="12" t="s">
        <v>209</v>
      </c>
    </row>
    <row r="430" spans="1:12" x14ac:dyDescent="0.35">
      <c r="A430" t="s">
        <v>524</v>
      </c>
      <c r="B430" s="10">
        <v>4534</v>
      </c>
      <c r="C430" s="10">
        <v>2235</v>
      </c>
      <c r="D430" s="10">
        <v>4</v>
      </c>
      <c r="E430" s="11" t="s">
        <v>45</v>
      </c>
      <c r="F430" s="11" t="s">
        <v>46</v>
      </c>
      <c r="G430" t="s">
        <v>65</v>
      </c>
      <c r="H430" s="13">
        <v>44794</v>
      </c>
      <c r="I430" s="14" t="s">
        <v>525</v>
      </c>
      <c r="J430" t="s">
        <v>42</v>
      </c>
      <c r="K430" t="s">
        <v>75</v>
      </c>
      <c r="L430" s="12" t="s">
        <v>209</v>
      </c>
    </row>
    <row r="431" spans="1:12" x14ac:dyDescent="0.35">
      <c r="A431" t="s">
        <v>526</v>
      </c>
      <c r="B431" s="10">
        <v>4911</v>
      </c>
      <c r="C431" s="10">
        <v>186</v>
      </c>
      <c r="D431" s="10">
        <v>20</v>
      </c>
      <c r="E431" s="11" t="s">
        <v>13</v>
      </c>
      <c r="F431" s="11" t="s">
        <v>82</v>
      </c>
      <c r="G431" t="s">
        <v>32</v>
      </c>
      <c r="H431" s="13">
        <v>44731</v>
      </c>
      <c r="I431" s="14" t="s">
        <v>527</v>
      </c>
      <c r="J431" t="s">
        <v>25</v>
      </c>
      <c r="K431" t="s">
        <v>26</v>
      </c>
      <c r="L431" s="12" t="s">
        <v>165</v>
      </c>
    </row>
    <row r="432" spans="1:12" x14ac:dyDescent="0.35">
      <c r="A432" t="s">
        <v>526</v>
      </c>
      <c r="B432" s="10">
        <v>531</v>
      </c>
      <c r="C432" s="10">
        <v>189</v>
      </c>
      <c r="D432" s="10">
        <v>20</v>
      </c>
      <c r="E432" s="11" t="s">
        <v>45</v>
      </c>
      <c r="F432" s="11" t="s">
        <v>109</v>
      </c>
      <c r="G432" t="s">
        <v>32</v>
      </c>
      <c r="H432" s="13">
        <v>44731</v>
      </c>
      <c r="I432" s="14" t="s">
        <v>527</v>
      </c>
      <c r="J432" t="s">
        <v>25</v>
      </c>
      <c r="K432" t="s">
        <v>26</v>
      </c>
      <c r="L432" s="12" t="s">
        <v>165</v>
      </c>
    </row>
    <row r="433" spans="1:12" x14ac:dyDescent="0.35">
      <c r="A433" t="s">
        <v>528</v>
      </c>
      <c r="B433" s="10">
        <v>9707</v>
      </c>
      <c r="C433" s="10">
        <v>3483</v>
      </c>
      <c r="D433" s="10">
        <v>10</v>
      </c>
      <c r="E433" s="11" t="s">
        <v>13</v>
      </c>
      <c r="F433" s="11" t="s">
        <v>14</v>
      </c>
      <c r="G433" t="s">
        <v>40</v>
      </c>
      <c r="H433" s="13">
        <v>45686</v>
      </c>
      <c r="I433" s="14" t="s">
        <v>529</v>
      </c>
      <c r="J433" t="s">
        <v>21</v>
      </c>
      <c r="K433" t="s">
        <v>172</v>
      </c>
      <c r="L433" s="12" t="s">
        <v>308</v>
      </c>
    </row>
    <row r="434" spans="1:12" x14ac:dyDescent="0.35">
      <c r="A434" t="s">
        <v>528</v>
      </c>
      <c r="B434" s="10">
        <v>8521</v>
      </c>
      <c r="C434" s="10">
        <v>2584</v>
      </c>
      <c r="D434" s="10">
        <v>7</v>
      </c>
      <c r="E434" s="11" t="s">
        <v>30</v>
      </c>
      <c r="F434" s="11" t="s">
        <v>64</v>
      </c>
      <c r="G434" t="s">
        <v>65</v>
      </c>
      <c r="H434" s="13">
        <v>45686</v>
      </c>
      <c r="I434" s="14" t="s">
        <v>529</v>
      </c>
      <c r="J434" t="s">
        <v>21</v>
      </c>
      <c r="K434" t="s">
        <v>172</v>
      </c>
      <c r="L434" s="12" t="s">
        <v>308</v>
      </c>
    </row>
    <row r="435" spans="1:12" x14ac:dyDescent="0.35">
      <c r="A435" t="s">
        <v>530</v>
      </c>
      <c r="B435" s="10">
        <v>8438</v>
      </c>
      <c r="C435" s="10">
        <v>3427</v>
      </c>
      <c r="D435" s="10">
        <v>12</v>
      </c>
      <c r="E435" s="11" t="s">
        <v>30</v>
      </c>
      <c r="F435" s="11" t="s">
        <v>78</v>
      </c>
      <c r="G435" t="s">
        <v>47</v>
      </c>
      <c r="H435" s="13">
        <v>44575</v>
      </c>
      <c r="I435" s="14" t="s">
        <v>531</v>
      </c>
      <c r="J435" t="s">
        <v>25</v>
      </c>
      <c r="K435" t="s">
        <v>26</v>
      </c>
      <c r="L435" s="12" t="s">
        <v>87</v>
      </c>
    </row>
    <row r="436" spans="1:12" x14ac:dyDescent="0.35">
      <c r="A436" t="s">
        <v>530</v>
      </c>
      <c r="B436" s="10">
        <v>1689</v>
      </c>
      <c r="C436" s="10">
        <v>109</v>
      </c>
      <c r="D436" s="10">
        <v>9</v>
      </c>
      <c r="E436" s="11" t="s">
        <v>13</v>
      </c>
      <c r="F436" s="11" t="s">
        <v>14</v>
      </c>
      <c r="G436" t="s">
        <v>15</v>
      </c>
      <c r="H436" s="13">
        <v>44575</v>
      </c>
      <c r="I436" s="14" t="s">
        <v>531</v>
      </c>
      <c r="J436" t="s">
        <v>25</v>
      </c>
      <c r="K436" t="s">
        <v>26</v>
      </c>
      <c r="L436" s="12" t="s">
        <v>87</v>
      </c>
    </row>
    <row r="437" spans="1:12" x14ac:dyDescent="0.35">
      <c r="A437" t="s">
        <v>530</v>
      </c>
      <c r="B437" s="10">
        <v>3936</v>
      </c>
      <c r="C437" s="10">
        <v>1626</v>
      </c>
      <c r="D437" s="10">
        <v>14</v>
      </c>
      <c r="E437" s="11" t="s">
        <v>30</v>
      </c>
      <c r="F437" s="11" t="s">
        <v>64</v>
      </c>
      <c r="G437" t="s">
        <v>65</v>
      </c>
      <c r="H437" s="13">
        <v>44575</v>
      </c>
      <c r="I437" s="14" t="s">
        <v>531</v>
      </c>
      <c r="J437" t="s">
        <v>25</v>
      </c>
      <c r="K437" t="s">
        <v>26</v>
      </c>
      <c r="L437" s="12" t="s">
        <v>87</v>
      </c>
    </row>
    <row r="438" spans="1:12" x14ac:dyDescent="0.35">
      <c r="A438" t="s">
        <v>532</v>
      </c>
      <c r="B438" s="10">
        <v>7664</v>
      </c>
      <c r="C438" s="10">
        <v>1753</v>
      </c>
      <c r="D438" s="10">
        <v>19</v>
      </c>
      <c r="E438" s="11" t="s">
        <v>13</v>
      </c>
      <c r="F438" s="11" t="s">
        <v>82</v>
      </c>
      <c r="G438" t="s">
        <v>32</v>
      </c>
      <c r="H438" s="13">
        <v>45092</v>
      </c>
      <c r="I438" s="14" t="s">
        <v>533</v>
      </c>
      <c r="J438" t="s">
        <v>98</v>
      </c>
      <c r="K438" t="s">
        <v>107</v>
      </c>
      <c r="L438" s="12" t="s">
        <v>19</v>
      </c>
    </row>
    <row r="439" spans="1:12" x14ac:dyDescent="0.35">
      <c r="A439" t="s">
        <v>534</v>
      </c>
      <c r="B439" s="10">
        <v>721</v>
      </c>
      <c r="C439" s="10">
        <v>258</v>
      </c>
      <c r="D439" s="10">
        <v>13</v>
      </c>
      <c r="E439" s="11" t="s">
        <v>13</v>
      </c>
      <c r="F439" s="11" t="s">
        <v>39</v>
      </c>
      <c r="G439" t="s">
        <v>32</v>
      </c>
      <c r="H439" s="13">
        <v>45217</v>
      </c>
      <c r="I439" s="14" t="s">
        <v>535</v>
      </c>
      <c r="J439" t="s">
        <v>21</v>
      </c>
      <c r="K439" t="s">
        <v>172</v>
      </c>
      <c r="L439" s="12" t="s">
        <v>442</v>
      </c>
    </row>
    <row r="440" spans="1:12" x14ac:dyDescent="0.35">
      <c r="A440" t="s">
        <v>534</v>
      </c>
      <c r="B440" s="10">
        <v>721</v>
      </c>
      <c r="C440" s="10">
        <v>258</v>
      </c>
      <c r="D440" s="10">
        <v>13</v>
      </c>
      <c r="E440" s="11" t="s">
        <v>13</v>
      </c>
      <c r="F440" s="11" t="s">
        <v>39</v>
      </c>
      <c r="G440" t="s">
        <v>32</v>
      </c>
      <c r="H440" s="13">
        <v>44725</v>
      </c>
      <c r="I440" s="14" t="s">
        <v>536</v>
      </c>
      <c r="J440" t="s">
        <v>25</v>
      </c>
      <c r="K440" t="s">
        <v>26</v>
      </c>
      <c r="L440" s="12" t="s">
        <v>165</v>
      </c>
    </row>
    <row r="441" spans="1:12" x14ac:dyDescent="0.35">
      <c r="A441" t="s">
        <v>534</v>
      </c>
      <c r="B441" s="10">
        <v>8364</v>
      </c>
      <c r="C441" s="10">
        <v>3055</v>
      </c>
      <c r="D441" s="10">
        <v>17</v>
      </c>
      <c r="E441" s="11" t="s">
        <v>13</v>
      </c>
      <c r="F441" s="11" t="s">
        <v>39</v>
      </c>
      <c r="G441" t="s">
        <v>47</v>
      </c>
      <c r="H441" s="13">
        <v>45217</v>
      </c>
      <c r="I441" s="14" t="s">
        <v>535</v>
      </c>
      <c r="J441" t="s">
        <v>21</v>
      </c>
      <c r="K441" t="s">
        <v>172</v>
      </c>
      <c r="L441" s="12" t="s">
        <v>442</v>
      </c>
    </row>
    <row r="442" spans="1:12" x14ac:dyDescent="0.35">
      <c r="A442" t="s">
        <v>534</v>
      </c>
      <c r="B442" s="10">
        <v>8364</v>
      </c>
      <c r="C442" s="10">
        <v>3055</v>
      </c>
      <c r="D442" s="10">
        <v>17</v>
      </c>
      <c r="E442" s="11" t="s">
        <v>13</v>
      </c>
      <c r="F442" s="11" t="s">
        <v>39</v>
      </c>
      <c r="G442" t="s">
        <v>47</v>
      </c>
      <c r="H442" s="13">
        <v>44725</v>
      </c>
      <c r="I442" s="14" t="s">
        <v>536</v>
      </c>
      <c r="J442" t="s">
        <v>25</v>
      </c>
      <c r="K442" t="s">
        <v>26</v>
      </c>
      <c r="L442" s="12" t="s">
        <v>165</v>
      </c>
    </row>
    <row r="443" spans="1:12" x14ac:dyDescent="0.35">
      <c r="A443" t="s">
        <v>534</v>
      </c>
      <c r="B443" s="10">
        <v>5234</v>
      </c>
      <c r="C443" s="10">
        <v>2021</v>
      </c>
      <c r="D443" s="10">
        <v>15</v>
      </c>
      <c r="E443" s="11" t="s">
        <v>45</v>
      </c>
      <c r="F443" s="11" t="s">
        <v>109</v>
      </c>
      <c r="G443" t="s">
        <v>40</v>
      </c>
      <c r="H443" s="13">
        <v>45217</v>
      </c>
      <c r="I443" s="14" t="s">
        <v>535</v>
      </c>
      <c r="J443" t="s">
        <v>21</v>
      </c>
      <c r="K443" t="s">
        <v>172</v>
      </c>
      <c r="L443" s="12" t="s">
        <v>442</v>
      </c>
    </row>
    <row r="444" spans="1:12" x14ac:dyDescent="0.35">
      <c r="A444" t="s">
        <v>534</v>
      </c>
      <c r="B444" s="10">
        <v>5234</v>
      </c>
      <c r="C444" s="10">
        <v>2021</v>
      </c>
      <c r="D444" s="10">
        <v>15</v>
      </c>
      <c r="E444" s="11" t="s">
        <v>45</v>
      </c>
      <c r="F444" s="11" t="s">
        <v>109</v>
      </c>
      <c r="G444" t="s">
        <v>40</v>
      </c>
      <c r="H444" s="13">
        <v>44725</v>
      </c>
      <c r="I444" s="14" t="s">
        <v>536</v>
      </c>
      <c r="J444" t="s">
        <v>25</v>
      </c>
      <c r="K444" t="s">
        <v>26</v>
      </c>
      <c r="L444" s="12" t="s">
        <v>165</v>
      </c>
    </row>
    <row r="445" spans="1:12" x14ac:dyDescent="0.35">
      <c r="A445" t="s">
        <v>537</v>
      </c>
      <c r="B445" s="10">
        <v>3944</v>
      </c>
      <c r="C445" s="10">
        <v>1559</v>
      </c>
      <c r="D445" s="10">
        <v>18</v>
      </c>
      <c r="E445" s="11" t="s">
        <v>13</v>
      </c>
      <c r="F445" s="11" t="s">
        <v>82</v>
      </c>
      <c r="G445" t="s">
        <v>47</v>
      </c>
      <c r="H445" s="13">
        <v>45455</v>
      </c>
      <c r="I445" s="14" t="s">
        <v>538</v>
      </c>
      <c r="J445" t="s">
        <v>42</v>
      </c>
      <c r="K445" t="s">
        <v>92</v>
      </c>
      <c r="L445" s="12" t="s">
        <v>262</v>
      </c>
    </row>
    <row r="446" spans="1:12" x14ac:dyDescent="0.35">
      <c r="A446" t="s">
        <v>537</v>
      </c>
      <c r="B446" s="10">
        <v>6711</v>
      </c>
      <c r="C446" s="10">
        <v>1045</v>
      </c>
      <c r="D446" s="10">
        <v>12</v>
      </c>
      <c r="E446" s="11" t="s">
        <v>30</v>
      </c>
      <c r="F446" s="11" t="s">
        <v>31</v>
      </c>
      <c r="G446" t="s">
        <v>47</v>
      </c>
      <c r="H446" s="13">
        <v>45455</v>
      </c>
      <c r="I446" s="14" t="s">
        <v>538</v>
      </c>
      <c r="J446" t="s">
        <v>42</v>
      </c>
      <c r="K446" t="s">
        <v>92</v>
      </c>
      <c r="L446" s="12" t="s">
        <v>262</v>
      </c>
    </row>
    <row r="447" spans="1:12" x14ac:dyDescent="0.35">
      <c r="A447" t="s">
        <v>537</v>
      </c>
      <c r="B447" s="10">
        <v>5031</v>
      </c>
      <c r="C447" s="10">
        <v>714</v>
      </c>
      <c r="D447" s="10">
        <v>4</v>
      </c>
      <c r="E447" s="11" t="s">
        <v>45</v>
      </c>
      <c r="F447" s="11" t="s">
        <v>46</v>
      </c>
      <c r="G447" t="s">
        <v>47</v>
      </c>
      <c r="H447" s="13">
        <v>45455</v>
      </c>
      <c r="I447" s="14" t="s">
        <v>538</v>
      </c>
      <c r="J447" t="s">
        <v>42</v>
      </c>
      <c r="K447" t="s">
        <v>92</v>
      </c>
      <c r="L447" s="12" t="s">
        <v>262</v>
      </c>
    </row>
    <row r="448" spans="1:12" x14ac:dyDescent="0.35">
      <c r="A448" t="s">
        <v>537</v>
      </c>
      <c r="B448" s="10">
        <v>6295</v>
      </c>
      <c r="C448" s="10">
        <v>2469</v>
      </c>
      <c r="D448" s="10">
        <v>14</v>
      </c>
      <c r="E448" s="11" t="s">
        <v>30</v>
      </c>
      <c r="F448" s="11" t="s">
        <v>78</v>
      </c>
      <c r="G448" t="s">
        <v>40</v>
      </c>
      <c r="H448" s="13">
        <v>45455</v>
      </c>
      <c r="I448" s="14" t="s">
        <v>538</v>
      </c>
      <c r="J448" t="s">
        <v>42</v>
      </c>
      <c r="K448" t="s">
        <v>92</v>
      </c>
      <c r="L448" s="12" t="s">
        <v>262</v>
      </c>
    </row>
    <row r="449" spans="1:12" x14ac:dyDescent="0.35">
      <c r="A449" t="s">
        <v>539</v>
      </c>
      <c r="B449" s="10">
        <v>9654</v>
      </c>
      <c r="C449" s="10">
        <v>4111</v>
      </c>
      <c r="D449" s="10">
        <v>1</v>
      </c>
      <c r="E449" s="11" t="s">
        <v>30</v>
      </c>
      <c r="F449" s="11" t="s">
        <v>64</v>
      </c>
      <c r="G449" t="s">
        <v>15</v>
      </c>
      <c r="H449" s="13">
        <v>44739</v>
      </c>
      <c r="I449" s="14" t="s">
        <v>540</v>
      </c>
      <c r="J449" t="s">
        <v>42</v>
      </c>
      <c r="K449" t="s">
        <v>92</v>
      </c>
      <c r="L449" s="12" t="s">
        <v>165</v>
      </c>
    </row>
    <row r="450" spans="1:12" x14ac:dyDescent="0.35">
      <c r="A450" t="s">
        <v>539</v>
      </c>
      <c r="B450" s="10">
        <v>3112</v>
      </c>
      <c r="C450" s="10">
        <v>1065</v>
      </c>
      <c r="D450" s="10">
        <v>20</v>
      </c>
      <c r="E450" s="11" t="s">
        <v>30</v>
      </c>
      <c r="F450" s="11" t="s">
        <v>78</v>
      </c>
      <c r="G450" t="s">
        <v>65</v>
      </c>
      <c r="H450" s="13">
        <v>44739</v>
      </c>
      <c r="I450" s="14" t="s">
        <v>540</v>
      </c>
      <c r="J450" t="s">
        <v>42</v>
      </c>
      <c r="K450" t="s">
        <v>92</v>
      </c>
      <c r="L450" s="12" t="s">
        <v>165</v>
      </c>
    </row>
    <row r="451" spans="1:12" x14ac:dyDescent="0.35">
      <c r="A451" t="s">
        <v>541</v>
      </c>
      <c r="B451" s="10">
        <v>7838</v>
      </c>
      <c r="C451" s="10">
        <v>1142</v>
      </c>
      <c r="D451" s="10">
        <v>13</v>
      </c>
      <c r="E451" s="11" t="s">
        <v>13</v>
      </c>
      <c r="F451" s="11" t="s">
        <v>82</v>
      </c>
      <c r="G451" t="s">
        <v>15</v>
      </c>
      <c r="H451" s="13">
        <v>44245</v>
      </c>
      <c r="I451" s="14" t="s">
        <v>542</v>
      </c>
      <c r="J451" t="s">
        <v>42</v>
      </c>
      <c r="K451" t="s">
        <v>92</v>
      </c>
      <c r="L451" s="12" t="s">
        <v>292</v>
      </c>
    </row>
    <row r="452" spans="1:12" x14ac:dyDescent="0.35">
      <c r="A452" t="s">
        <v>541</v>
      </c>
      <c r="B452" s="10">
        <v>9300</v>
      </c>
      <c r="C452" s="10">
        <v>3146</v>
      </c>
      <c r="D452" s="10">
        <v>6</v>
      </c>
      <c r="E452" s="11" t="s">
        <v>13</v>
      </c>
      <c r="F452" s="11" t="s">
        <v>82</v>
      </c>
      <c r="G452" t="s">
        <v>47</v>
      </c>
      <c r="H452" s="13">
        <v>44245</v>
      </c>
      <c r="I452" s="14" t="s">
        <v>542</v>
      </c>
      <c r="J452" t="s">
        <v>42</v>
      </c>
      <c r="K452" t="s">
        <v>92</v>
      </c>
      <c r="L452" s="12" t="s">
        <v>292</v>
      </c>
    </row>
    <row r="453" spans="1:12" x14ac:dyDescent="0.35">
      <c r="A453" t="s">
        <v>541</v>
      </c>
      <c r="B453" s="10">
        <v>1733</v>
      </c>
      <c r="C453" s="10">
        <v>133</v>
      </c>
      <c r="D453" s="10">
        <v>17</v>
      </c>
      <c r="E453" s="11" t="s">
        <v>30</v>
      </c>
      <c r="F453" s="11" t="s">
        <v>64</v>
      </c>
      <c r="G453" t="s">
        <v>32</v>
      </c>
      <c r="H453" s="13">
        <v>44245</v>
      </c>
      <c r="I453" s="14" t="s">
        <v>542</v>
      </c>
      <c r="J453" t="s">
        <v>42</v>
      </c>
      <c r="K453" t="s">
        <v>92</v>
      </c>
      <c r="L453" s="12" t="s">
        <v>292</v>
      </c>
    </row>
    <row r="454" spans="1:12" x14ac:dyDescent="0.35">
      <c r="A454" t="s">
        <v>543</v>
      </c>
      <c r="B454" s="10">
        <v>874</v>
      </c>
      <c r="C454" s="10">
        <v>235</v>
      </c>
      <c r="D454" s="10">
        <v>15</v>
      </c>
      <c r="E454" s="11" t="s">
        <v>30</v>
      </c>
      <c r="F454" s="11" t="s">
        <v>78</v>
      </c>
      <c r="G454" t="s">
        <v>32</v>
      </c>
      <c r="H454" s="13">
        <v>45075</v>
      </c>
      <c r="I454" s="14" t="s">
        <v>544</v>
      </c>
      <c r="J454" t="s">
        <v>25</v>
      </c>
      <c r="K454" t="s">
        <v>68</v>
      </c>
      <c r="L454" s="12" t="s">
        <v>127</v>
      </c>
    </row>
    <row r="455" spans="1:12" x14ac:dyDescent="0.35">
      <c r="A455" t="s">
        <v>543</v>
      </c>
      <c r="B455" s="10">
        <v>874</v>
      </c>
      <c r="C455" s="10">
        <v>235</v>
      </c>
      <c r="D455" s="10">
        <v>15</v>
      </c>
      <c r="E455" s="11" t="s">
        <v>30</v>
      </c>
      <c r="F455" s="11" t="s">
        <v>78</v>
      </c>
      <c r="G455" t="s">
        <v>32</v>
      </c>
      <c r="H455" s="13">
        <v>44351</v>
      </c>
      <c r="I455" s="14" t="s">
        <v>545</v>
      </c>
      <c r="J455" t="s">
        <v>17</v>
      </c>
      <c r="K455" t="s">
        <v>18</v>
      </c>
      <c r="L455" s="12" t="s">
        <v>125</v>
      </c>
    </row>
    <row r="456" spans="1:12" x14ac:dyDescent="0.35">
      <c r="A456" t="s">
        <v>546</v>
      </c>
      <c r="B456" s="10">
        <v>1248</v>
      </c>
      <c r="C456" s="10">
        <v>584</v>
      </c>
      <c r="D456" s="10">
        <v>13</v>
      </c>
      <c r="E456" s="11" t="s">
        <v>30</v>
      </c>
      <c r="F456" s="11" t="s">
        <v>31</v>
      </c>
      <c r="G456" t="s">
        <v>40</v>
      </c>
      <c r="H456" s="13">
        <v>45313</v>
      </c>
      <c r="I456" s="14" t="s">
        <v>547</v>
      </c>
      <c r="J456" t="s">
        <v>98</v>
      </c>
      <c r="K456" t="s">
        <v>99</v>
      </c>
      <c r="L456" s="12" t="s">
        <v>76</v>
      </c>
    </row>
    <row r="457" spans="1:12" x14ac:dyDescent="0.35">
      <c r="A457" t="s">
        <v>546</v>
      </c>
      <c r="B457" s="10">
        <v>1248</v>
      </c>
      <c r="C457" s="10">
        <v>584</v>
      </c>
      <c r="D457" s="10">
        <v>13</v>
      </c>
      <c r="E457" s="11" t="s">
        <v>30</v>
      </c>
      <c r="F457" s="11" t="s">
        <v>31</v>
      </c>
      <c r="G457" t="s">
        <v>40</v>
      </c>
      <c r="H457" s="13">
        <v>44922</v>
      </c>
      <c r="I457" s="14" t="s">
        <v>548</v>
      </c>
      <c r="J457" t="s">
        <v>42</v>
      </c>
      <c r="K457" t="s">
        <v>92</v>
      </c>
      <c r="L457" s="12" t="s">
        <v>152</v>
      </c>
    </row>
    <row r="458" spans="1:12" x14ac:dyDescent="0.35">
      <c r="A458" t="s">
        <v>546</v>
      </c>
      <c r="B458" s="10">
        <v>3669</v>
      </c>
      <c r="C458" s="10">
        <v>154</v>
      </c>
      <c r="D458" s="10">
        <v>14</v>
      </c>
      <c r="E458" s="11" t="s">
        <v>30</v>
      </c>
      <c r="F458" s="11" t="s">
        <v>57</v>
      </c>
      <c r="G458" t="s">
        <v>40</v>
      </c>
      <c r="H458" s="13">
        <v>45313</v>
      </c>
      <c r="I458" s="14" t="s">
        <v>547</v>
      </c>
      <c r="J458" t="s">
        <v>98</v>
      </c>
      <c r="K458" t="s">
        <v>99</v>
      </c>
      <c r="L458" s="12" t="s">
        <v>76</v>
      </c>
    </row>
    <row r="459" spans="1:12" x14ac:dyDescent="0.35">
      <c r="A459" t="s">
        <v>546</v>
      </c>
      <c r="B459" s="10">
        <v>3669</v>
      </c>
      <c r="C459" s="10">
        <v>154</v>
      </c>
      <c r="D459" s="10">
        <v>14</v>
      </c>
      <c r="E459" s="11" t="s">
        <v>30</v>
      </c>
      <c r="F459" s="11" t="s">
        <v>57</v>
      </c>
      <c r="G459" t="s">
        <v>40</v>
      </c>
      <c r="H459" s="13">
        <v>44922</v>
      </c>
      <c r="I459" s="14" t="s">
        <v>548</v>
      </c>
      <c r="J459" t="s">
        <v>42</v>
      </c>
      <c r="K459" t="s">
        <v>92</v>
      </c>
      <c r="L459" s="12" t="s">
        <v>152</v>
      </c>
    </row>
    <row r="460" spans="1:12" x14ac:dyDescent="0.35">
      <c r="A460" t="s">
        <v>546</v>
      </c>
      <c r="B460" s="10">
        <v>514</v>
      </c>
      <c r="C460" s="10">
        <v>109</v>
      </c>
      <c r="D460" s="10">
        <v>15</v>
      </c>
      <c r="E460" s="11" t="s">
        <v>30</v>
      </c>
      <c r="F460" s="11" t="s">
        <v>64</v>
      </c>
      <c r="G460" t="s">
        <v>32</v>
      </c>
      <c r="H460" s="13">
        <v>45313</v>
      </c>
      <c r="I460" s="14" t="s">
        <v>547</v>
      </c>
      <c r="J460" t="s">
        <v>98</v>
      </c>
      <c r="K460" t="s">
        <v>99</v>
      </c>
      <c r="L460" s="12" t="s">
        <v>76</v>
      </c>
    </row>
    <row r="461" spans="1:12" x14ac:dyDescent="0.35">
      <c r="A461" t="s">
        <v>546</v>
      </c>
      <c r="B461" s="10">
        <v>514</v>
      </c>
      <c r="C461" s="10">
        <v>109</v>
      </c>
      <c r="D461" s="10">
        <v>15</v>
      </c>
      <c r="E461" s="11" t="s">
        <v>30</v>
      </c>
      <c r="F461" s="11" t="s">
        <v>64</v>
      </c>
      <c r="G461" t="s">
        <v>32</v>
      </c>
      <c r="H461" s="13">
        <v>44922</v>
      </c>
      <c r="I461" s="14" t="s">
        <v>548</v>
      </c>
      <c r="J461" t="s">
        <v>42</v>
      </c>
      <c r="K461" t="s">
        <v>92</v>
      </c>
      <c r="L461" s="12" t="s">
        <v>152</v>
      </c>
    </row>
    <row r="462" spans="1:12" x14ac:dyDescent="0.35">
      <c r="A462" t="s">
        <v>549</v>
      </c>
      <c r="B462" s="10">
        <v>3273</v>
      </c>
      <c r="C462" s="10">
        <v>85</v>
      </c>
      <c r="D462" s="10">
        <v>16</v>
      </c>
      <c r="E462" s="11" t="s">
        <v>13</v>
      </c>
      <c r="F462" s="11" t="s">
        <v>82</v>
      </c>
      <c r="G462" t="s">
        <v>15</v>
      </c>
      <c r="H462" s="13">
        <v>45381</v>
      </c>
      <c r="I462" s="14" t="s">
        <v>550</v>
      </c>
      <c r="J462" t="s">
        <v>98</v>
      </c>
      <c r="K462" t="s">
        <v>107</v>
      </c>
      <c r="L462" s="12" t="s">
        <v>338</v>
      </c>
    </row>
    <row r="463" spans="1:12" x14ac:dyDescent="0.35">
      <c r="A463" t="s">
        <v>551</v>
      </c>
      <c r="B463" s="10">
        <v>5035</v>
      </c>
      <c r="C463" s="10">
        <v>2008</v>
      </c>
      <c r="D463" s="10">
        <v>2</v>
      </c>
      <c r="E463" s="11" t="s">
        <v>45</v>
      </c>
      <c r="F463" s="11" t="s">
        <v>49</v>
      </c>
      <c r="G463" t="s">
        <v>65</v>
      </c>
      <c r="H463" s="13">
        <v>43925</v>
      </c>
      <c r="I463" s="14" t="s">
        <v>552</v>
      </c>
      <c r="J463" t="s">
        <v>17</v>
      </c>
      <c r="K463" t="s">
        <v>18</v>
      </c>
      <c r="L463" s="12" t="s">
        <v>162</v>
      </c>
    </row>
    <row r="464" spans="1:12" x14ac:dyDescent="0.35">
      <c r="A464" t="s">
        <v>551</v>
      </c>
      <c r="B464" s="10">
        <v>7702</v>
      </c>
      <c r="C464" s="10">
        <v>60</v>
      </c>
      <c r="D464" s="10">
        <v>19</v>
      </c>
      <c r="E464" s="11" t="s">
        <v>13</v>
      </c>
      <c r="F464" s="11" t="s">
        <v>28</v>
      </c>
      <c r="G464" t="s">
        <v>15</v>
      </c>
      <c r="H464" s="13">
        <v>43925</v>
      </c>
      <c r="I464" s="14" t="s">
        <v>552</v>
      </c>
      <c r="J464" t="s">
        <v>17</v>
      </c>
      <c r="K464" t="s">
        <v>18</v>
      </c>
      <c r="L464" s="12" t="s">
        <v>162</v>
      </c>
    </row>
    <row r="465" spans="1:12" x14ac:dyDescent="0.35">
      <c r="A465" t="s">
        <v>551</v>
      </c>
      <c r="B465" s="10">
        <v>9884</v>
      </c>
      <c r="C465" s="10">
        <v>4446</v>
      </c>
      <c r="D465" s="10">
        <v>7</v>
      </c>
      <c r="E465" s="11" t="s">
        <v>13</v>
      </c>
      <c r="F465" s="11" t="s">
        <v>28</v>
      </c>
      <c r="G465" t="s">
        <v>40</v>
      </c>
      <c r="H465" s="13">
        <v>43925</v>
      </c>
      <c r="I465" s="14" t="s">
        <v>552</v>
      </c>
      <c r="J465" t="s">
        <v>17</v>
      </c>
      <c r="K465" t="s">
        <v>18</v>
      </c>
      <c r="L465" s="12" t="s">
        <v>162</v>
      </c>
    </row>
    <row r="466" spans="1:12" x14ac:dyDescent="0.35">
      <c r="A466" t="s">
        <v>553</v>
      </c>
      <c r="B466" s="10">
        <v>5564</v>
      </c>
      <c r="C466" s="10">
        <v>175</v>
      </c>
      <c r="D466" s="10">
        <v>11</v>
      </c>
      <c r="E466" s="11" t="s">
        <v>13</v>
      </c>
      <c r="F466" s="11" t="s">
        <v>39</v>
      </c>
      <c r="G466" t="s">
        <v>65</v>
      </c>
      <c r="H466" s="13">
        <v>44948</v>
      </c>
      <c r="I466" s="14" t="s">
        <v>554</v>
      </c>
      <c r="J466" t="s">
        <v>21</v>
      </c>
      <c r="K466" t="s">
        <v>22</v>
      </c>
      <c r="L466" s="12" t="s">
        <v>333</v>
      </c>
    </row>
    <row r="467" spans="1:12" x14ac:dyDescent="0.35">
      <c r="A467" t="s">
        <v>553</v>
      </c>
      <c r="B467" s="10">
        <v>5564</v>
      </c>
      <c r="C467" s="10">
        <v>175</v>
      </c>
      <c r="D467" s="10">
        <v>11</v>
      </c>
      <c r="E467" s="11" t="s">
        <v>13</v>
      </c>
      <c r="F467" s="11" t="s">
        <v>39</v>
      </c>
      <c r="G467" t="s">
        <v>65</v>
      </c>
      <c r="H467" s="13">
        <v>44663</v>
      </c>
      <c r="I467" s="14" t="s">
        <v>555</v>
      </c>
      <c r="J467" t="s">
        <v>71</v>
      </c>
      <c r="K467" t="s">
        <v>138</v>
      </c>
      <c r="L467" s="12" t="s">
        <v>187</v>
      </c>
    </row>
    <row r="468" spans="1:12" x14ac:dyDescent="0.35">
      <c r="A468" t="s">
        <v>553</v>
      </c>
      <c r="B468" s="10">
        <v>5564</v>
      </c>
      <c r="C468" s="10">
        <v>175</v>
      </c>
      <c r="D468" s="10">
        <v>11</v>
      </c>
      <c r="E468" s="11" t="s">
        <v>13</v>
      </c>
      <c r="F468" s="11" t="s">
        <v>39</v>
      </c>
      <c r="G468" t="s">
        <v>65</v>
      </c>
      <c r="H468" s="13">
        <v>45273</v>
      </c>
      <c r="I468" s="14" t="s">
        <v>556</v>
      </c>
      <c r="J468" t="s">
        <v>17</v>
      </c>
      <c r="K468" t="s">
        <v>18</v>
      </c>
      <c r="L468" s="12" t="s">
        <v>102</v>
      </c>
    </row>
    <row r="469" spans="1:12" x14ac:dyDescent="0.35">
      <c r="A469" t="s">
        <v>553</v>
      </c>
      <c r="B469" s="10">
        <v>3953</v>
      </c>
      <c r="C469" s="10">
        <v>1776</v>
      </c>
      <c r="D469" s="10">
        <v>15</v>
      </c>
      <c r="E469" s="11" t="s">
        <v>13</v>
      </c>
      <c r="F469" s="11" t="s">
        <v>14</v>
      </c>
      <c r="G469" t="s">
        <v>15</v>
      </c>
      <c r="H469" s="13">
        <v>44948</v>
      </c>
      <c r="I469" s="14" t="s">
        <v>554</v>
      </c>
      <c r="J469" t="s">
        <v>21</v>
      </c>
      <c r="K469" t="s">
        <v>22</v>
      </c>
      <c r="L469" s="12" t="s">
        <v>333</v>
      </c>
    </row>
    <row r="470" spans="1:12" x14ac:dyDescent="0.35">
      <c r="A470" t="s">
        <v>553</v>
      </c>
      <c r="B470" s="10">
        <v>3953</v>
      </c>
      <c r="C470" s="10">
        <v>1776</v>
      </c>
      <c r="D470" s="10">
        <v>15</v>
      </c>
      <c r="E470" s="11" t="s">
        <v>13</v>
      </c>
      <c r="F470" s="11" t="s">
        <v>14</v>
      </c>
      <c r="G470" t="s">
        <v>15</v>
      </c>
      <c r="H470" s="13">
        <v>44663</v>
      </c>
      <c r="I470" s="14" t="s">
        <v>555</v>
      </c>
      <c r="J470" t="s">
        <v>71</v>
      </c>
      <c r="K470" t="s">
        <v>138</v>
      </c>
      <c r="L470" s="12" t="s">
        <v>187</v>
      </c>
    </row>
    <row r="471" spans="1:12" x14ac:dyDescent="0.35">
      <c r="A471" t="s">
        <v>553</v>
      </c>
      <c r="B471" s="10">
        <v>3953</v>
      </c>
      <c r="C471" s="10">
        <v>1776</v>
      </c>
      <c r="D471" s="10">
        <v>15</v>
      </c>
      <c r="E471" s="11" t="s">
        <v>13</v>
      </c>
      <c r="F471" s="11" t="s">
        <v>14</v>
      </c>
      <c r="G471" t="s">
        <v>15</v>
      </c>
      <c r="H471" s="13">
        <v>45273</v>
      </c>
      <c r="I471" s="14" t="s">
        <v>556</v>
      </c>
      <c r="J471" t="s">
        <v>17</v>
      </c>
      <c r="K471" t="s">
        <v>18</v>
      </c>
      <c r="L471" s="12" t="s">
        <v>102</v>
      </c>
    </row>
    <row r="472" spans="1:12" x14ac:dyDescent="0.35">
      <c r="A472" t="s">
        <v>557</v>
      </c>
      <c r="B472" s="10">
        <v>6488</v>
      </c>
      <c r="C472" s="10">
        <v>1591</v>
      </c>
      <c r="D472" s="10">
        <v>18</v>
      </c>
      <c r="E472" s="11" t="s">
        <v>13</v>
      </c>
      <c r="F472" s="11" t="s">
        <v>28</v>
      </c>
      <c r="G472" t="s">
        <v>40</v>
      </c>
      <c r="H472" s="13">
        <v>45070</v>
      </c>
      <c r="I472" s="14" t="s">
        <v>558</v>
      </c>
      <c r="J472" t="s">
        <v>71</v>
      </c>
      <c r="K472" t="s">
        <v>72</v>
      </c>
      <c r="L472" s="12" t="s">
        <v>127</v>
      </c>
    </row>
    <row r="473" spans="1:12" x14ac:dyDescent="0.35">
      <c r="A473" t="s">
        <v>557</v>
      </c>
      <c r="B473" s="10">
        <v>6488</v>
      </c>
      <c r="C473" s="10">
        <v>1591</v>
      </c>
      <c r="D473" s="10">
        <v>18</v>
      </c>
      <c r="E473" s="11" t="s">
        <v>13</v>
      </c>
      <c r="F473" s="11" t="s">
        <v>28</v>
      </c>
      <c r="G473" t="s">
        <v>40</v>
      </c>
      <c r="H473" s="13">
        <v>44164</v>
      </c>
      <c r="I473" s="14" t="s">
        <v>559</v>
      </c>
      <c r="J473" t="s">
        <v>71</v>
      </c>
      <c r="K473" t="s">
        <v>138</v>
      </c>
      <c r="L473" s="12" t="s">
        <v>80</v>
      </c>
    </row>
    <row r="474" spans="1:12" x14ac:dyDescent="0.35">
      <c r="A474" t="s">
        <v>560</v>
      </c>
      <c r="B474" s="10">
        <v>7856</v>
      </c>
      <c r="C474" s="10">
        <v>3699</v>
      </c>
      <c r="D474" s="10">
        <v>17</v>
      </c>
      <c r="E474" s="11" t="s">
        <v>13</v>
      </c>
      <c r="F474" s="11" t="s">
        <v>14</v>
      </c>
      <c r="G474" t="s">
        <v>15</v>
      </c>
      <c r="H474" s="13">
        <v>44279</v>
      </c>
      <c r="I474" s="14" t="s">
        <v>561</v>
      </c>
      <c r="J474" t="s">
        <v>17</v>
      </c>
      <c r="K474" t="s">
        <v>34</v>
      </c>
      <c r="L474" s="12" t="s">
        <v>167</v>
      </c>
    </row>
    <row r="475" spans="1:12" x14ac:dyDescent="0.35">
      <c r="A475" t="s">
        <v>560</v>
      </c>
      <c r="B475" s="10">
        <v>1165</v>
      </c>
      <c r="C475" s="10">
        <v>51</v>
      </c>
      <c r="D475" s="10">
        <v>3</v>
      </c>
      <c r="E475" s="11" t="s">
        <v>30</v>
      </c>
      <c r="F475" s="11" t="s">
        <v>31</v>
      </c>
      <c r="G475" t="s">
        <v>40</v>
      </c>
      <c r="H475" s="13">
        <v>44279</v>
      </c>
      <c r="I475" s="14" t="s">
        <v>561</v>
      </c>
      <c r="J475" t="s">
        <v>17</v>
      </c>
      <c r="K475" t="s">
        <v>34</v>
      </c>
      <c r="L475" s="12" t="s">
        <v>167</v>
      </c>
    </row>
    <row r="476" spans="1:12" x14ac:dyDescent="0.35">
      <c r="A476" t="s">
        <v>562</v>
      </c>
      <c r="B476" s="10">
        <v>9386</v>
      </c>
      <c r="C476" s="10">
        <v>2555</v>
      </c>
      <c r="D476" s="10">
        <v>20</v>
      </c>
      <c r="E476" s="11" t="s">
        <v>30</v>
      </c>
      <c r="F476" s="11" t="s">
        <v>57</v>
      </c>
      <c r="G476" t="s">
        <v>47</v>
      </c>
      <c r="H476" s="13">
        <v>44062</v>
      </c>
      <c r="I476" s="14" t="s">
        <v>563</v>
      </c>
      <c r="J476" t="s">
        <v>42</v>
      </c>
      <c r="K476" t="s">
        <v>75</v>
      </c>
      <c r="L476" s="12" t="s">
        <v>185</v>
      </c>
    </row>
    <row r="477" spans="1:12" x14ac:dyDescent="0.35">
      <c r="A477" t="s">
        <v>562</v>
      </c>
      <c r="B477" s="10">
        <v>9386</v>
      </c>
      <c r="C477" s="10">
        <v>2555</v>
      </c>
      <c r="D477" s="10">
        <v>20</v>
      </c>
      <c r="E477" s="11" t="s">
        <v>30</v>
      </c>
      <c r="F477" s="11" t="s">
        <v>57</v>
      </c>
      <c r="G477" t="s">
        <v>47</v>
      </c>
      <c r="H477" s="13">
        <v>44854</v>
      </c>
      <c r="I477" s="14" t="s">
        <v>564</v>
      </c>
      <c r="J477" t="s">
        <v>98</v>
      </c>
      <c r="K477" t="s">
        <v>117</v>
      </c>
      <c r="L477" s="12" t="s">
        <v>96</v>
      </c>
    </row>
    <row r="478" spans="1:12" x14ac:dyDescent="0.35">
      <c r="A478" t="s">
        <v>565</v>
      </c>
      <c r="B478" s="10">
        <v>3956</v>
      </c>
      <c r="C478" s="10">
        <v>142</v>
      </c>
      <c r="D478" s="10">
        <v>12</v>
      </c>
      <c r="E478" s="11" t="s">
        <v>30</v>
      </c>
      <c r="F478" s="11" t="s">
        <v>31</v>
      </c>
      <c r="G478" t="s">
        <v>32</v>
      </c>
      <c r="H478" s="13">
        <v>45189</v>
      </c>
      <c r="I478" s="14" t="s">
        <v>566</v>
      </c>
      <c r="J478" t="s">
        <v>17</v>
      </c>
      <c r="K478" t="s">
        <v>150</v>
      </c>
      <c r="L478" s="12" t="s">
        <v>273</v>
      </c>
    </row>
    <row r="479" spans="1:12" x14ac:dyDescent="0.35">
      <c r="A479" t="s">
        <v>565</v>
      </c>
      <c r="B479" s="10">
        <v>3956</v>
      </c>
      <c r="C479" s="10">
        <v>142</v>
      </c>
      <c r="D479" s="10">
        <v>12</v>
      </c>
      <c r="E479" s="11" t="s">
        <v>30</v>
      </c>
      <c r="F479" s="11" t="s">
        <v>31</v>
      </c>
      <c r="G479" t="s">
        <v>32</v>
      </c>
      <c r="H479" s="13">
        <v>45652</v>
      </c>
      <c r="I479" s="14" t="s">
        <v>567</v>
      </c>
      <c r="J479" t="s">
        <v>71</v>
      </c>
      <c r="K479" t="s">
        <v>72</v>
      </c>
      <c r="L479" s="12" t="s">
        <v>23</v>
      </c>
    </row>
    <row r="480" spans="1:12" x14ac:dyDescent="0.35">
      <c r="A480" t="s">
        <v>565</v>
      </c>
      <c r="B480" s="10">
        <v>6449</v>
      </c>
      <c r="C480" s="10">
        <v>2628</v>
      </c>
      <c r="D480" s="10">
        <v>11</v>
      </c>
      <c r="E480" s="11" t="s">
        <v>45</v>
      </c>
      <c r="F480" s="11" t="s">
        <v>109</v>
      </c>
      <c r="G480" t="s">
        <v>40</v>
      </c>
      <c r="H480" s="13">
        <v>45189</v>
      </c>
      <c r="I480" s="14" t="s">
        <v>566</v>
      </c>
      <c r="J480" t="s">
        <v>17</v>
      </c>
      <c r="K480" t="s">
        <v>150</v>
      </c>
      <c r="L480" s="12" t="s">
        <v>273</v>
      </c>
    </row>
    <row r="481" spans="1:12" x14ac:dyDescent="0.35">
      <c r="A481" t="s">
        <v>565</v>
      </c>
      <c r="B481" s="10">
        <v>6449</v>
      </c>
      <c r="C481" s="10">
        <v>2628</v>
      </c>
      <c r="D481" s="10">
        <v>11</v>
      </c>
      <c r="E481" s="11" t="s">
        <v>45</v>
      </c>
      <c r="F481" s="11" t="s">
        <v>109</v>
      </c>
      <c r="G481" t="s">
        <v>40</v>
      </c>
      <c r="H481" s="13">
        <v>45652</v>
      </c>
      <c r="I481" s="14" t="s">
        <v>567</v>
      </c>
      <c r="J481" t="s">
        <v>71</v>
      </c>
      <c r="K481" t="s">
        <v>72</v>
      </c>
      <c r="L481" s="12" t="s">
        <v>23</v>
      </c>
    </row>
    <row r="482" spans="1:12" x14ac:dyDescent="0.35">
      <c r="A482" t="s">
        <v>568</v>
      </c>
      <c r="B482" s="10">
        <v>6255</v>
      </c>
      <c r="C482" s="10">
        <v>437</v>
      </c>
      <c r="D482" s="10">
        <v>18</v>
      </c>
      <c r="E482" s="11" t="s">
        <v>30</v>
      </c>
      <c r="F482" s="11" t="s">
        <v>57</v>
      </c>
      <c r="G482" t="s">
        <v>65</v>
      </c>
      <c r="H482" s="13">
        <v>44533</v>
      </c>
      <c r="I482" s="14" t="s">
        <v>569</v>
      </c>
      <c r="J482" t="s">
        <v>25</v>
      </c>
      <c r="K482" t="s">
        <v>68</v>
      </c>
      <c r="L482" s="12" t="s">
        <v>90</v>
      </c>
    </row>
    <row r="483" spans="1:12" x14ac:dyDescent="0.35">
      <c r="A483" t="s">
        <v>568</v>
      </c>
      <c r="B483" s="10">
        <v>2109</v>
      </c>
      <c r="C483" s="10">
        <v>681</v>
      </c>
      <c r="D483" s="10">
        <v>20</v>
      </c>
      <c r="E483" s="11" t="s">
        <v>13</v>
      </c>
      <c r="F483" s="11" t="s">
        <v>14</v>
      </c>
      <c r="G483" t="s">
        <v>15</v>
      </c>
      <c r="H483" s="13">
        <v>44533</v>
      </c>
      <c r="I483" s="14" t="s">
        <v>569</v>
      </c>
      <c r="J483" t="s">
        <v>25</v>
      </c>
      <c r="K483" t="s">
        <v>68</v>
      </c>
      <c r="L483" s="12" t="s">
        <v>90</v>
      </c>
    </row>
    <row r="484" spans="1:12" x14ac:dyDescent="0.35">
      <c r="A484" t="s">
        <v>570</v>
      </c>
      <c r="B484" s="10">
        <v>6707</v>
      </c>
      <c r="C484" s="10">
        <v>1041</v>
      </c>
      <c r="D484" s="10">
        <v>20</v>
      </c>
      <c r="E484" s="11" t="s">
        <v>13</v>
      </c>
      <c r="F484" s="11" t="s">
        <v>82</v>
      </c>
      <c r="G484" t="s">
        <v>47</v>
      </c>
      <c r="H484" s="13">
        <v>44453</v>
      </c>
      <c r="I484" s="14" t="s">
        <v>571</v>
      </c>
      <c r="J484" t="s">
        <v>71</v>
      </c>
      <c r="K484" t="s">
        <v>86</v>
      </c>
      <c r="L484" s="12" t="s">
        <v>224</v>
      </c>
    </row>
    <row r="485" spans="1:12" x14ac:dyDescent="0.35">
      <c r="A485" t="s">
        <v>572</v>
      </c>
      <c r="B485" s="10">
        <v>7633</v>
      </c>
      <c r="C485" s="10">
        <v>184</v>
      </c>
      <c r="D485" s="10">
        <v>13</v>
      </c>
      <c r="E485" s="11" t="s">
        <v>30</v>
      </c>
      <c r="F485" s="11" t="s">
        <v>31</v>
      </c>
      <c r="G485" t="s">
        <v>65</v>
      </c>
      <c r="H485" s="13">
        <v>44469</v>
      </c>
      <c r="I485" s="14" t="s">
        <v>573</v>
      </c>
      <c r="J485" t="s">
        <v>21</v>
      </c>
      <c r="K485" t="s">
        <v>63</v>
      </c>
      <c r="L485" s="12" t="s">
        <v>224</v>
      </c>
    </row>
    <row r="486" spans="1:12" x14ac:dyDescent="0.35">
      <c r="A486" t="s">
        <v>574</v>
      </c>
      <c r="B486" s="10">
        <v>975</v>
      </c>
      <c r="C486" s="10">
        <v>224</v>
      </c>
      <c r="D486" s="10">
        <v>18</v>
      </c>
      <c r="E486" s="11" t="s">
        <v>30</v>
      </c>
      <c r="F486" s="11" t="s">
        <v>31</v>
      </c>
      <c r="G486" t="s">
        <v>65</v>
      </c>
      <c r="H486" s="13">
        <v>44552</v>
      </c>
      <c r="I486" s="14" t="s">
        <v>575</v>
      </c>
      <c r="J486" t="s">
        <v>42</v>
      </c>
      <c r="K486" t="s">
        <v>75</v>
      </c>
      <c r="L486" s="12" t="s">
        <v>90</v>
      </c>
    </row>
    <row r="487" spans="1:12" x14ac:dyDescent="0.35">
      <c r="A487" t="s">
        <v>574</v>
      </c>
      <c r="B487" s="10">
        <v>4492</v>
      </c>
      <c r="C487" s="10">
        <v>1450</v>
      </c>
      <c r="D487" s="10">
        <v>7</v>
      </c>
      <c r="E487" s="11" t="s">
        <v>45</v>
      </c>
      <c r="F487" s="11" t="s">
        <v>46</v>
      </c>
      <c r="G487" t="s">
        <v>40</v>
      </c>
      <c r="H487" s="13">
        <v>44552</v>
      </c>
      <c r="I487" s="14" t="s">
        <v>575</v>
      </c>
      <c r="J487" t="s">
        <v>42</v>
      </c>
      <c r="K487" t="s">
        <v>75</v>
      </c>
      <c r="L487" s="12" t="s">
        <v>90</v>
      </c>
    </row>
    <row r="488" spans="1:12" x14ac:dyDescent="0.35">
      <c r="A488" t="s">
        <v>574</v>
      </c>
      <c r="B488" s="10">
        <v>7957</v>
      </c>
      <c r="C488" s="10">
        <v>2834</v>
      </c>
      <c r="D488" s="10">
        <v>12</v>
      </c>
      <c r="E488" s="11" t="s">
        <v>45</v>
      </c>
      <c r="F488" s="11" t="s">
        <v>49</v>
      </c>
      <c r="G488" t="s">
        <v>15</v>
      </c>
      <c r="H488" s="13">
        <v>44552</v>
      </c>
      <c r="I488" s="14" t="s">
        <v>575</v>
      </c>
      <c r="J488" t="s">
        <v>42</v>
      </c>
      <c r="K488" t="s">
        <v>75</v>
      </c>
      <c r="L488" s="12" t="s">
        <v>90</v>
      </c>
    </row>
    <row r="489" spans="1:12" x14ac:dyDescent="0.35">
      <c r="A489" t="s">
        <v>576</v>
      </c>
      <c r="B489" s="10">
        <v>4906</v>
      </c>
      <c r="C489" s="10">
        <v>975</v>
      </c>
      <c r="D489" s="10">
        <v>7</v>
      </c>
      <c r="E489" s="11" t="s">
        <v>45</v>
      </c>
      <c r="F489" s="11" t="s">
        <v>46</v>
      </c>
      <c r="G489" t="s">
        <v>32</v>
      </c>
      <c r="H489" s="13">
        <v>44699</v>
      </c>
      <c r="I489" s="14" t="s">
        <v>577</v>
      </c>
      <c r="J489" t="s">
        <v>71</v>
      </c>
      <c r="K489" t="s">
        <v>138</v>
      </c>
      <c r="L489" s="12" t="s">
        <v>180</v>
      </c>
    </row>
    <row r="490" spans="1:12" x14ac:dyDescent="0.35">
      <c r="A490" t="s">
        <v>578</v>
      </c>
      <c r="B490" s="10">
        <v>1379</v>
      </c>
      <c r="C490" s="10">
        <v>250</v>
      </c>
      <c r="D490" s="10">
        <v>3</v>
      </c>
      <c r="E490" s="11" t="s">
        <v>30</v>
      </c>
      <c r="F490" s="11" t="s">
        <v>31</v>
      </c>
      <c r="G490" t="s">
        <v>47</v>
      </c>
      <c r="H490" s="13">
        <v>44112</v>
      </c>
      <c r="I490" s="14" t="s">
        <v>579</v>
      </c>
      <c r="J490" t="s">
        <v>25</v>
      </c>
      <c r="K490" t="s">
        <v>26</v>
      </c>
      <c r="L490" s="12" t="s">
        <v>119</v>
      </c>
    </row>
    <row r="491" spans="1:12" x14ac:dyDescent="0.35">
      <c r="A491" t="s">
        <v>578</v>
      </c>
      <c r="B491" s="10">
        <v>4244</v>
      </c>
      <c r="C491" s="10">
        <v>340</v>
      </c>
      <c r="D491" s="10">
        <v>10</v>
      </c>
      <c r="E491" s="11" t="s">
        <v>13</v>
      </c>
      <c r="F491" s="11" t="s">
        <v>39</v>
      </c>
      <c r="G491" t="s">
        <v>32</v>
      </c>
      <c r="H491" s="13">
        <v>44112</v>
      </c>
      <c r="I491" s="14" t="s">
        <v>579</v>
      </c>
      <c r="J491" t="s">
        <v>25</v>
      </c>
      <c r="K491" t="s">
        <v>26</v>
      </c>
      <c r="L491" s="12" t="s">
        <v>119</v>
      </c>
    </row>
    <row r="492" spans="1:12" x14ac:dyDescent="0.35">
      <c r="A492" t="s">
        <v>580</v>
      </c>
      <c r="B492" s="10">
        <v>5911</v>
      </c>
      <c r="C492" s="10">
        <v>2333</v>
      </c>
      <c r="D492" s="10">
        <v>14</v>
      </c>
      <c r="E492" s="11" t="s">
        <v>45</v>
      </c>
      <c r="F492" s="11" t="s">
        <v>109</v>
      </c>
      <c r="G492" t="s">
        <v>40</v>
      </c>
      <c r="H492" s="13">
        <v>44793</v>
      </c>
      <c r="I492" s="14" t="s">
        <v>581</v>
      </c>
      <c r="J492" t="s">
        <v>42</v>
      </c>
      <c r="K492" t="s">
        <v>75</v>
      </c>
      <c r="L492" s="12" t="s">
        <v>209</v>
      </c>
    </row>
    <row r="493" spans="1:12" x14ac:dyDescent="0.35">
      <c r="A493" t="s">
        <v>580</v>
      </c>
      <c r="B493" s="10">
        <v>5911</v>
      </c>
      <c r="C493" s="10">
        <v>2333</v>
      </c>
      <c r="D493" s="10">
        <v>14</v>
      </c>
      <c r="E493" s="11" t="s">
        <v>45</v>
      </c>
      <c r="F493" s="11" t="s">
        <v>109</v>
      </c>
      <c r="G493" t="s">
        <v>40</v>
      </c>
      <c r="H493" s="13">
        <v>45621</v>
      </c>
      <c r="I493" s="14" t="s">
        <v>582</v>
      </c>
      <c r="J493" t="s">
        <v>42</v>
      </c>
      <c r="K493" t="s">
        <v>92</v>
      </c>
      <c r="L493" s="12" t="s">
        <v>255</v>
      </c>
    </row>
    <row r="494" spans="1:12" x14ac:dyDescent="0.35">
      <c r="A494" t="s">
        <v>580</v>
      </c>
      <c r="B494" s="10">
        <v>1818</v>
      </c>
      <c r="C494" s="10">
        <v>738</v>
      </c>
      <c r="D494" s="10">
        <v>11</v>
      </c>
      <c r="E494" s="11" t="s">
        <v>30</v>
      </c>
      <c r="F494" s="11" t="s">
        <v>57</v>
      </c>
      <c r="G494" t="s">
        <v>40</v>
      </c>
      <c r="H494" s="13">
        <v>44793</v>
      </c>
      <c r="I494" s="14" t="s">
        <v>581</v>
      </c>
      <c r="J494" t="s">
        <v>42</v>
      </c>
      <c r="K494" t="s">
        <v>75</v>
      </c>
      <c r="L494" s="12" t="s">
        <v>209</v>
      </c>
    </row>
    <row r="495" spans="1:12" x14ac:dyDescent="0.35">
      <c r="A495" t="s">
        <v>580</v>
      </c>
      <c r="B495" s="10">
        <v>1818</v>
      </c>
      <c r="C495" s="10">
        <v>738</v>
      </c>
      <c r="D495" s="10">
        <v>11</v>
      </c>
      <c r="E495" s="11" t="s">
        <v>30</v>
      </c>
      <c r="F495" s="11" t="s">
        <v>57</v>
      </c>
      <c r="G495" t="s">
        <v>40</v>
      </c>
      <c r="H495" s="13">
        <v>45621</v>
      </c>
      <c r="I495" s="14" t="s">
        <v>582</v>
      </c>
      <c r="J495" t="s">
        <v>42</v>
      </c>
      <c r="K495" t="s">
        <v>92</v>
      </c>
      <c r="L495" s="12" t="s">
        <v>255</v>
      </c>
    </row>
    <row r="496" spans="1:12" x14ac:dyDescent="0.35">
      <c r="A496" t="s">
        <v>583</v>
      </c>
      <c r="B496" s="10">
        <v>2140</v>
      </c>
      <c r="C496" s="10">
        <v>970</v>
      </c>
      <c r="D496" s="10">
        <v>4</v>
      </c>
      <c r="E496" s="11" t="s">
        <v>30</v>
      </c>
      <c r="F496" s="11" t="s">
        <v>64</v>
      </c>
      <c r="G496" t="s">
        <v>47</v>
      </c>
      <c r="H496" s="13">
        <v>44104</v>
      </c>
      <c r="I496" s="14" t="s">
        <v>584</v>
      </c>
      <c r="J496" t="s">
        <v>42</v>
      </c>
      <c r="K496" t="s">
        <v>75</v>
      </c>
      <c r="L496" s="12" t="s">
        <v>389</v>
      </c>
    </row>
    <row r="497" spans="1:12" x14ac:dyDescent="0.35">
      <c r="A497" t="s">
        <v>583</v>
      </c>
      <c r="B497" s="10">
        <v>2140</v>
      </c>
      <c r="C497" s="10">
        <v>970</v>
      </c>
      <c r="D497" s="10">
        <v>4</v>
      </c>
      <c r="E497" s="11" t="s">
        <v>30</v>
      </c>
      <c r="F497" s="11" t="s">
        <v>64</v>
      </c>
      <c r="G497" t="s">
        <v>47</v>
      </c>
      <c r="H497" s="13">
        <v>45708</v>
      </c>
      <c r="I497" s="14" t="s">
        <v>585</v>
      </c>
      <c r="J497" t="s">
        <v>17</v>
      </c>
      <c r="K497" t="s">
        <v>34</v>
      </c>
      <c r="L497" s="12" t="s">
        <v>73</v>
      </c>
    </row>
    <row r="498" spans="1:12" x14ac:dyDescent="0.35">
      <c r="A498" t="s">
        <v>583</v>
      </c>
      <c r="B498" s="10">
        <v>2140</v>
      </c>
      <c r="C498" s="10">
        <v>970</v>
      </c>
      <c r="D498" s="10">
        <v>4</v>
      </c>
      <c r="E498" s="11" t="s">
        <v>30</v>
      </c>
      <c r="F498" s="11" t="s">
        <v>64</v>
      </c>
      <c r="G498" t="s">
        <v>47</v>
      </c>
      <c r="H498" s="13">
        <v>44640</v>
      </c>
      <c r="I498" s="14" t="s">
        <v>586</v>
      </c>
      <c r="J498" t="s">
        <v>42</v>
      </c>
      <c r="K498" t="s">
        <v>92</v>
      </c>
      <c r="L498" s="12" t="s">
        <v>134</v>
      </c>
    </row>
    <row r="499" spans="1:12" x14ac:dyDescent="0.35">
      <c r="A499" t="s">
        <v>583</v>
      </c>
      <c r="B499" s="10">
        <v>2670</v>
      </c>
      <c r="C499" s="10">
        <v>1026</v>
      </c>
      <c r="D499" s="10">
        <v>1</v>
      </c>
      <c r="E499" s="11" t="s">
        <v>13</v>
      </c>
      <c r="F499" s="11" t="s">
        <v>39</v>
      </c>
      <c r="G499" t="s">
        <v>32</v>
      </c>
      <c r="H499" s="13">
        <v>44104</v>
      </c>
      <c r="I499" s="14" t="s">
        <v>584</v>
      </c>
      <c r="J499" t="s">
        <v>42</v>
      </c>
      <c r="K499" t="s">
        <v>75</v>
      </c>
      <c r="L499" s="12" t="s">
        <v>389</v>
      </c>
    </row>
    <row r="500" spans="1:12" x14ac:dyDescent="0.35">
      <c r="A500" t="s">
        <v>583</v>
      </c>
      <c r="B500" s="10">
        <v>2670</v>
      </c>
      <c r="C500" s="10">
        <v>1026</v>
      </c>
      <c r="D500" s="10">
        <v>1</v>
      </c>
      <c r="E500" s="11" t="s">
        <v>13</v>
      </c>
      <c r="F500" s="11" t="s">
        <v>39</v>
      </c>
      <c r="G500" t="s">
        <v>32</v>
      </c>
      <c r="H500" s="13">
        <v>45708</v>
      </c>
      <c r="I500" s="14" t="s">
        <v>585</v>
      </c>
      <c r="J500" t="s">
        <v>17</v>
      </c>
      <c r="K500" t="s">
        <v>34</v>
      </c>
      <c r="L500" s="12" t="s">
        <v>73</v>
      </c>
    </row>
    <row r="501" spans="1:12" x14ac:dyDescent="0.35">
      <c r="A501" t="s">
        <v>583</v>
      </c>
      <c r="B501" s="10">
        <v>2670</v>
      </c>
      <c r="C501" s="10">
        <v>1026</v>
      </c>
      <c r="D501" s="10">
        <v>1</v>
      </c>
      <c r="E501" s="11" t="s">
        <v>13</v>
      </c>
      <c r="F501" s="11" t="s">
        <v>39</v>
      </c>
      <c r="G501" t="s">
        <v>32</v>
      </c>
      <c r="H501" s="13">
        <v>44640</v>
      </c>
      <c r="I501" s="14" t="s">
        <v>586</v>
      </c>
      <c r="J501" t="s">
        <v>42</v>
      </c>
      <c r="K501" t="s">
        <v>92</v>
      </c>
      <c r="L501" s="12" t="s">
        <v>134</v>
      </c>
    </row>
    <row r="502" spans="1:12" x14ac:dyDescent="0.35">
      <c r="A502" t="s">
        <v>587</v>
      </c>
      <c r="B502" s="10">
        <v>1108</v>
      </c>
      <c r="C502" s="10">
        <v>167</v>
      </c>
      <c r="D502" s="10">
        <v>18</v>
      </c>
      <c r="E502" s="11" t="s">
        <v>13</v>
      </c>
      <c r="F502" s="11" t="s">
        <v>39</v>
      </c>
      <c r="G502" t="s">
        <v>32</v>
      </c>
      <c r="H502" s="13">
        <v>45723</v>
      </c>
      <c r="I502" s="14" t="s">
        <v>588</v>
      </c>
      <c r="J502" t="s">
        <v>21</v>
      </c>
      <c r="K502" t="s">
        <v>63</v>
      </c>
      <c r="L502" s="12" t="s">
        <v>157</v>
      </c>
    </row>
    <row r="503" spans="1:12" x14ac:dyDescent="0.35">
      <c r="A503" t="s">
        <v>587</v>
      </c>
      <c r="B503" s="10">
        <v>9776</v>
      </c>
      <c r="C503" s="10">
        <v>3750</v>
      </c>
      <c r="D503" s="10">
        <v>9</v>
      </c>
      <c r="E503" s="11" t="s">
        <v>30</v>
      </c>
      <c r="F503" s="11" t="s">
        <v>78</v>
      </c>
      <c r="G503" t="s">
        <v>15</v>
      </c>
      <c r="H503" s="13">
        <v>45723</v>
      </c>
      <c r="I503" s="14" t="s">
        <v>588</v>
      </c>
      <c r="J503" t="s">
        <v>21</v>
      </c>
      <c r="K503" t="s">
        <v>63</v>
      </c>
      <c r="L503" s="12" t="s">
        <v>157</v>
      </c>
    </row>
    <row r="504" spans="1:12" x14ac:dyDescent="0.35">
      <c r="A504" t="s">
        <v>587</v>
      </c>
      <c r="B504" s="10">
        <v>535</v>
      </c>
      <c r="C504" s="10">
        <v>72</v>
      </c>
      <c r="D504" s="10">
        <v>6</v>
      </c>
      <c r="E504" s="11" t="s">
        <v>45</v>
      </c>
      <c r="F504" s="11" t="s">
        <v>109</v>
      </c>
      <c r="G504" t="s">
        <v>65</v>
      </c>
      <c r="H504" s="13">
        <v>45723</v>
      </c>
      <c r="I504" s="14" t="s">
        <v>588</v>
      </c>
      <c r="J504" t="s">
        <v>21</v>
      </c>
      <c r="K504" t="s">
        <v>63</v>
      </c>
      <c r="L504" s="12" t="s">
        <v>157</v>
      </c>
    </row>
    <row r="505" spans="1:12" x14ac:dyDescent="0.35">
      <c r="A505" t="s">
        <v>589</v>
      </c>
      <c r="B505" s="10">
        <v>7564</v>
      </c>
      <c r="C505" s="10">
        <v>3463</v>
      </c>
      <c r="D505" s="10">
        <v>5</v>
      </c>
      <c r="E505" s="11" t="s">
        <v>30</v>
      </c>
      <c r="F505" s="11" t="s">
        <v>64</v>
      </c>
      <c r="G505" t="s">
        <v>47</v>
      </c>
      <c r="H505" s="13">
        <v>45459</v>
      </c>
      <c r="I505" s="14" t="s">
        <v>590</v>
      </c>
      <c r="J505" t="s">
        <v>17</v>
      </c>
      <c r="K505" t="s">
        <v>150</v>
      </c>
      <c r="L505" s="12" t="s">
        <v>262</v>
      </c>
    </row>
    <row r="506" spans="1:12" x14ac:dyDescent="0.35">
      <c r="A506" t="s">
        <v>589</v>
      </c>
      <c r="B506" s="10">
        <v>7564</v>
      </c>
      <c r="C506" s="10">
        <v>3463</v>
      </c>
      <c r="D506" s="10">
        <v>5</v>
      </c>
      <c r="E506" s="11" t="s">
        <v>30</v>
      </c>
      <c r="F506" s="11" t="s">
        <v>64</v>
      </c>
      <c r="G506" t="s">
        <v>47</v>
      </c>
      <c r="H506" s="13">
        <v>44156</v>
      </c>
      <c r="I506" s="14" t="s">
        <v>591</v>
      </c>
      <c r="J506" t="s">
        <v>21</v>
      </c>
      <c r="K506" t="s">
        <v>172</v>
      </c>
      <c r="L506" s="12" t="s">
        <v>80</v>
      </c>
    </row>
    <row r="507" spans="1:12" x14ac:dyDescent="0.35">
      <c r="A507" t="s">
        <v>589</v>
      </c>
      <c r="B507" s="10">
        <v>7564</v>
      </c>
      <c r="C507" s="10">
        <v>3463</v>
      </c>
      <c r="D507" s="10">
        <v>5</v>
      </c>
      <c r="E507" s="11" t="s">
        <v>30</v>
      </c>
      <c r="F507" s="11" t="s">
        <v>64</v>
      </c>
      <c r="G507" t="s">
        <v>47</v>
      </c>
      <c r="H507" s="13">
        <v>45566</v>
      </c>
      <c r="I507" s="14" t="s">
        <v>592</v>
      </c>
      <c r="J507" t="s">
        <v>17</v>
      </c>
      <c r="K507" t="s">
        <v>18</v>
      </c>
      <c r="L507" s="12" t="s">
        <v>360</v>
      </c>
    </row>
    <row r="508" spans="1:12" x14ac:dyDescent="0.35">
      <c r="A508" t="s">
        <v>589</v>
      </c>
      <c r="B508" s="10">
        <v>7564</v>
      </c>
      <c r="C508" s="10">
        <v>3463</v>
      </c>
      <c r="D508" s="10">
        <v>5</v>
      </c>
      <c r="E508" s="11" t="s">
        <v>30</v>
      </c>
      <c r="F508" s="11" t="s">
        <v>64</v>
      </c>
      <c r="G508" t="s">
        <v>47</v>
      </c>
      <c r="H508" s="13">
        <v>45474</v>
      </c>
      <c r="I508" s="14" t="s">
        <v>593</v>
      </c>
      <c r="J508" t="s">
        <v>71</v>
      </c>
      <c r="K508" t="s">
        <v>138</v>
      </c>
      <c r="L508" s="12" t="s">
        <v>215</v>
      </c>
    </row>
    <row r="509" spans="1:12" x14ac:dyDescent="0.35">
      <c r="A509" t="s">
        <v>589</v>
      </c>
      <c r="B509" s="10">
        <v>3409</v>
      </c>
      <c r="C509" s="10">
        <v>1605</v>
      </c>
      <c r="D509" s="10">
        <v>20</v>
      </c>
      <c r="E509" s="11" t="s">
        <v>13</v>
      </c>
      <c r="F509" s="11" t="s">
        <v>14</v>
      </c>
      <c r="G509" t="s">
        <v>15</v>
      </c>
      <c r="H509" s="13">
        <v>45459</v>
      </c>
      <c r="I509" s="14" t="s">
        <v>590</v>
      </c>
      <c r="J509" t="s">
        <v>17</v>
      </c>
      <c r="K509" t="s">
        <v>150</v>
      </c>
      <c r="L509" s="12" t="s">
        <v>262</v>
      </c>
    </row>
    <row r="510" spans="1:12" x14ac:dyDescent="0.35">
      <c r="A510" t="s">
        <v>589</v>
      </c>
      <c r="B510" s="10">
        <v>3409</v>
      </c>
      <c r="C510" s="10">
        <v>1605</v>
      </c>
      <c r="D510" s="10">
        <v>20</v>
      </c>
      <c r="E510" s="11" t="s">
        <v>13</v>
      </c>
      <c r="F510" s="11" t="s">
        <v>14</v>
      </c>
      <c r="G510" t="s">
        <v>15</v>
      </c>
      <c r="H510" s="13">
        <v>44156</v>
      </c>
      <c r="I510" s="14" t="s">
        <v>591</v>
      </c>
      <c r="J510" t="s">
        <v>21</v>
      </c>
      <c r="K510" t="s">
        <v>172</v>
      </c>
      <c r="L510" s="12" t="s">
        <v>80</v>
      </c>
    </row>
    <row r="511" spans="1:12" x14ac:dyDescent="0.35">
      <c r="A511" t="s">
        <v>589</v>
      </c>
      <c r="B511" s="10">
        <v>3409</v>
      </c>
      <c r="C511" s="10">
        <v>1605</v>
      </c>
      <c r="D511" s="10">
        <v>20</v>
      </c>
      <c r="E511" s="11" t="s">
        <v>13</v>
      </c>
      <c r="F511" s="11" t="s">
        <v>14</v>
      </c>
      <c r="G511" t="s">
        <v>15</v>
      </c>
      <c r="H511" s="13">
        <v>45566</v>
      </c>
      <c r="I511" s="14" t="s">
        <v>592</v>
      </c>
      <c r="J511" t="s">
        <v>17</v>
      </c>
      <c r="K511" t="s">
        <v>18</v>
      </c>
      <c r="L511" s="12" t="s">
        <v>360</v>
      </c>
    </row>
    <row r="512" spans="1:12" x14ac:dyDescent="0.35">
      <c r="A512" t="s">
        <v>589</v>
      </c>
      <c r="B512" s="10">
        <v>3409</v>
      </c>
      <c r="C512" s="10">
        <v>1605</v>
      </c>
      <c r="D512" s="10">
        <v>20</v>
      </c>
      <c r="E512" s="11" t="s">
        <v>13</v>
      </c>
      <c r="F512" s="11" t="s">
        <v>14</v>
      </c>
      <c r="G512" t="s">
        <v>15</v>
      </c>
      <c r="H512" s="13">
        <v>45474</v>
      </c>
      <c r="I512" s="14" t="s">
        <v>593</v>
      </c>
      <c r="J512" t="s">
        <v>71</v>
      </c>
      <c r="K512" t="s">
        <v>138</v>
      </c>
      <c r="L512" s="12" t="s">
        <v>215</v>
      </c>
    </row>
    <row r="513" spans="1:12" x14ac:dyDescent="0.35">
      <c r="A513" t="s">
        <v>594</v>
      </c>
      <c r="B513" s="10">
        <v>9751</v>
      </c>
      <c r="C513" s="10">
        <v>2459</v>
      </c>
      <c r="D513" s="10">
        <v>13</v>
      </c>
      <c r="E513" s="11" t="s">
        <v>30</v>
      </c>
      <c r="F513" s="11" t="s">
        <v>31</v>
      </c>
      <c r="G513" t="s">
        <v>65</v>
      </c>
      <c r="H513" s="13">
        <v>44158</v>
      </c>
      <c r="I513" s="14" t="s">
        <v>595</v>
      </c>
      <c r="J513" t="s">
        <v>25</v>
      </c>
      <c r="K513" t="s">
        <v>26</v>
      </c>
      <c r="L513" s="12" t="s">
        <v>80</v>
      </c>
    </row>
    <row r="514" spans="1:12" x14ac:dyDescent="0.35">
      <c r="A514" t="s">
        <v>596</v>
      </c>
      <c r="B514" s="10">
        <v>6385</v>
      </c>
      <c r="C514" s="10">
        <v>2656</v>
      </c>
      <c r="D514" s="10">
        <v>11</v>
      </c>
      <c r="E514" s="11" t="s">
        <v>13</v>
      </c>
      <c r="F514" s="11" t="s">
        <v>28</v>
      </c>
      <c r="G514" t="s">
        <v>47</v>
      </c>
      <c r="H514" s="13">
        <v>45003</v>
      </c>
      <c r="I514" s="14" t="s">
        <v>597</v>
      </c>
      <c r="J514" t="s">
        <v>17</v>
      </c>
      <c r="K514" t="s">
        <v>34</v>
      </c>
      <c r="L514" s="12" t="s">
        <v>245</v>
      </c>
    </row>
    <row r="515" spans="1:12" x14ac:dyDescent="0.35">
      <c r="A515" t="s">
        <v>596</v>
      </c>
      <c r="B515" s="10">
        <v>6385</v>
      </c>
      <c r="C515" s="10">
        <v>2656</v>
      </c>
      <c r="D515" s="10">
        <v>11</v>
      </c>
      <c r="E515" s="11" t="s">
        <v>13</v>
      </c>
      <c r="F515" s="11" t="s">
        <v>28</v>
      </c>
      <c r="G515" t="s">
        <v>47</v>
      </c>
      <c r="H515" s="13">
        <v>44853</v>
      </c>
      <c r="I515" s="14" t="s">
        <v>598</v>
      </c>
      <c r="J515" t="s">
        <v>17</v>
      </c>
      <c r="K515" t="s">
        <v>150</v>
      </c>
      <c r="L515" s="12" t="s">
        <v>96</v>
      </c>
    </row>
    <row r="516" spans="1:12" x14ac:dyDescent="0.35">
      <c r="A516" t="s">
        <v>599</v>
      </c>
      <c r="B516" s="10">
        <v>6355</v>
      </c>
      <c r="C516" s="10">
        <v>1335</v>
      </c>
      <c r="D516" s="10">
        <v>15</v>
      </c>
      <c r="E516" s="11" t="s">
        <v>13</v>
      </c>
      <c r="F516" s="11" t="s">
        <v>14</v>
      </c>
      <c r="G516" t="s">
        <v>32</v>
      </c>
      <c r="H516" s="13">
        <v>45169</v>
      </c>
      <c r="I516" s="14" t="s">
        <v>600</v>
      </c>
      <c r="J516" t="s">
        <v>71</v>
      </c>
      <c r="K516" t="s">
        <v>86</v>
      </c>
      <c r="L516" s="12" t="s">
        <v>121</v>
      </c>
    </row>
    <row r="517" spans="1:12" x14ac:dyDescent="0.35">
      <c r="A517" t="s">
        <v>599</v>
      </c>
      <c r="B517" s="10">
        <v>6355</v>
      </c>
      <c r="C517" s="10">
        <v>1335</v>
      </c>
      <c r="D517" s="10">
        <v>15</v>
      </c>
      <c r="E517" s="11" t="s">
        <v>13</v>
      </c>
      <c r="F517" s="11" t="s">
        <v>14</v>
      </c>
      <c r="G517" t="s">
        <v>32</v>
      </c>
      <c r="H517" s="13">
        <v>44353</v>
      </c>
      <c r="I517" s="14" t="s">
        <v>601</v>
      </c>
      <c r="J517" t="s">
        <v>71</v>
      </c>
      <c r="K517" t="s">
        <v>86</v>
      </c>
      <c r="L517" s="12" t="s">
        <v>125</v>
      </c>
    </row>
    <row r="518" spans="1:12" x14ac:dyDescent="0.35">
      <c r="A518" t="s">
        <v>602</v>
      </c>
      <c r="B518" s="10">
        <v>7377</v>
      </c>
      <c r="C518" s="10">
        <v>320</v>
      </c>
      <c r="D518" s="10">
        <v>15</v>
      </c>
      <c r="E518" s="11" t="s">
        <v>13</v>
      </c>
      <c r="F518" s="11" t="s">
        <v>28</v>
      </c>
      <c r="G518" t="s">
        <v>32</v>
      </c>
      <c r="H518" s="13">
        <v>44916</v>
      </c>
      <c r="I518" s="14" t="s">
        <v>603</v>
      </c>
      <c r="J518" t="s">
        <v>71</v>
      </c>
      <c r="K518" t="s">
        <v>86</v>
      </c>
      <c r="L518" s="12" t="s">
        <v>152</v>
      </c>
    </row>
    <row r="519" spans="1:12" x14ac:dyDescent="0.35">
      <c r="A519" t="s">
        <v>602</v>
      </c>
      <c r="B519" s="10">
        <v>2054</v>
      </c>
      <c r="C519" s="10">
        <v>371</v>
      </c>
      <c r="D519" s="10">
        <v>12</v>
      </c>
      <c r="E519" s="11" t="s">
        <v>30</v>
      </c>
      <c r="F519" s="11" t="s">
        <v>57</v>
      </c>
      <c r="G519" t="s">
        <v>40</v>
      </c>
      <c r="H519" s="13">
        <v>44916</v>
      </c>
      <c r="I519" s="14" t="s">
        <v>603</v>
      </c>
      <c r="J519" t="s">
        <v>71</v>
      </c>
      <c r="K519" t="s">
        <v>86</v>
      </c>
      <c r="L519" s="12" t="s">
        <v>152</v>
      </c>
    </row>
    <row r="520" spans="1:12" x14ac:dyDescent="0.35">
      <c r="A520" t="s">
        <v>604</v>
      </c>
      <c r="B520" s="10">
        <v>7497</v>
      </c>
      <c r="C520" s="10">
        <v>319</v>
      </c>
      <c r="D520" s="10">
        <v>18</v>
      </c>
      <c r="E520" s="11" t="s">
        <v>45</v>
      </c>
      <c r="F520" s="11" t="s">
        <v>49</v>
      </c>
      <c r="G520" t="s">
        <v>65</v>
      </c>
      <c r="H520" s="13">
        <v>45334</v>
      </c>
      <c r="I520" s="14" t="s">
        <v>605</v>
      </c>
      <c r="J520" t="s">
        <v>21</v>
      </c>
      <c r="K520" t="s">
        <v>172</v>
      </c>
      <c r="L520" s="12" t="s">
        <v>218</v>
      </c>
    </row>
    <row r="521" spans="1:12" x14ac:dyDescent="0.35">
      <c r="A521" t="s">
        <v>606</v>
      </c>
      <c r="B521" s="10">
        <v>2565</v>
      </c>
      <c r="C521" s="10">
        <v>983</v>
      </c>
      <c r="D521" s="10">
        <v>20</v>
      </c>
      <c r="E521" s="11" t="s">
        <v>13</v>
      </c>
      <c r="F521" s="11" t="s">
        <v>14</v>
      </c>
      <c r="G521" t="s">
        <v>32</v>
      </c>
      <c r="H521" s="13">
        <v>44900</v>
      </c>
      <c r="I521" s="14" t="s">
        <v>607</v>
      </c>
      <c r="J521" t="s">
        <v>17</v>
      </c>
      <c r="K521" t="s">
        <v>18</v>
      </c>
      <c r="L521" s="12" t="s">
        <v>152</v>
      </c>
    </row>
    <row r="522" spans="1:12" x14ac:dyDescent="0.35">
      <c r="A522" t="s">
        <v>606</v>
      </c>
      <c r="B522" s="10">
        <v>5024</v>
      </c>
      <c r="C522" s="10">
        <v>1544</v>
      </c>
      <c r="D522" s="10">
        <v>19</v>
      </c>
      <c r="E522" s="11" t="s">
        <v>30</v>
      </c>
      <c r="F522" s="11" t="s">
        <v>31</v>
      </c>
      <c r="G522" t="s">
        <v>65</v>
      </c>
      <c r="H522" s="13">
        <v>44900</v>
      </c>
      <c r="I522" s="14" t="s">
        <v>607</v>
      </c>
      <c r="J522" t="s">
        <v>17</v>
      </c>
      <c r="K522" t="s">
        <v>18</v>
      </c>
      <c r="L522" s="12" t="s">
        <v>152</v>
      </c>
    </row>
    <row r="523" spans="1:12" x14ac:dyDescent="0.35">
      <c r="A523" t="s">
        <v>608</v>
      </c>
      <c r="B523" s="10">
        <v>8243</v>
      </c>
      <c r="C523" s="10">
        <v>1346</v>
      </c>
      <c r="D523" s="10">
        <v>15</v>
      </c>
      <c r="E523" s="11" t="s">
        <v>30</v>
      </c>
      <c r="F523" s="11" t="s">
        <v>78</v>
      </c>
      <c r="G523" t="s">
        <v>32</v>
      </c>
      <c r="H523" s="13">
        <v>44290</v>
      </c>
      <c r="I523" s="14" t="s">
        <v>609</v>
      </c>
      <c r="J523" t="s">
        <v>71</v>
      </c>
      <c r="K523" t="s">
        <v>138</v>
      </c>
      <c r="L523" s="12" t="s">
        <v>139</v>
      </c>
    </row>
    <row r="524" spans="1:12" x14ac:dyDescent="0.35">
      <c r="A524" t="s">
        <v>610</v>
      </c>
      <c r="B524" s="10">
        <v>7792</v>
      </c>
      <c r="C524" s="10">
        <v>1403</v>
      </c>
      <c r="D524" s="10">
        <v>13</v>
      </c>
      <c r="E524" s="11" t="s">
        <v>30</v>
      </c>
      <c r="F524" s="11" t="s">
        <v>64</v>
      </c>
      <c r="G524" t="s">
        <v>15</v>
      </c>
      <c r="H524" s="13">
        <v>44239</v>
      </c>
      <c r="I524" s="14" t="s">
        <v>611</v>
      </c>
      <c r="J524" t="s">
        <v>21</v>
      </c>
      <c r="K524" t="s">
        <v>172</v>
      </c>
      <c r="L524" s="12" t="s">
        <v>292</v>
      </c>
    </row>
    <row r="525" spans="1:12" x14ac:dyDescent="0.35">
      <c r="A525" t="s">
        <v>610</v>
      </c>
      <c r="B525" s="10">
        <v>7792</v>
      </c>
      <c r="C525" s="10">
        <v>1403</v>
      </c>
      <c r="D525" s="10">
        <v>13</v>
      </c>
      <c r="E525" s="11" t="s">
        <v>30</v>
      </c>
      <c r="F525" s="11" t="s">
        <v>64</v>
      </c>
      <c r="G525" t="s">
        <v>15</v>
      </c>
      <c r="H525" s="13">
        <v>44922</v>
      </c>
      <c r="I525" s="14" t="s">
        <v>612</v>
      </c>
      <c r="J525" t="s">
        <v>25</v>
      </c>
      <c r="K525" t="s">
        <v>68</v>
      </c>
      <c r="L525" s="12" t="s">
        <v>152</v>
      </c>
    </row>
    <row r="526" spans="1:12" x14ac:dyDescent="0.35">
      <c r="A526" t="s">
        <v>610</v>
      </c>
      <c r="B526" s="10">
        <v>7792</v>
      </c>
      <c r="C526" s="10">
        <v>1403</v>
      </c>
      <c r="D526" s="10">
        <v>13</v>
      </c>
      <c r="E526" s="11" t="s">
        <v>30</v>
      </c>
      <c r="F526" s="11" t="s">
        <v>64</v>
      </c>
      <c r="G526" t="s">
        <v>15</v>
      </c>
      <c r="H526" s="13">
        <v>45310</v>
      </c>
      <c r="I526" s="14" t="s">
        <v>613</v>
      </c>
      <c r="J526" t="s">
        <v>42</v>
      </c>
      <c r="K526" t="s">
        <v>75</v>
      </c>
      <c r="L526" s="12" t="s">
        <v>76</v>
      </c>
    </row>
    <row r="527" spans="1:12" x14ac:dyDescent="0.35">
      <c r="A527" t="s">
        <v>610</v>
      </c>
      <c r="B527" s="10">
        <v>2346</v>
      </c>
      <c r="C527" s="10">
        <v>388</v>
      </c>
      <c r="D527" s="10">
        <v>14</v>
      </c>
      <c r="E527" s="11" t="s">
        <v>45</v>
      </c>
      <c r="F527" s="11" t="s">
        <v>49</v>
      </c>
      <c r="G527" t="s">
        <v>32</v>
      </c>
      <c r="H527" s="13">
        <v>44239</v>
      </c>
      <c r="I527" s="14" t="s">
        <v>611</v>
      </c>
      <c r="J527" t="s">
        <v>21</v>
      </c>
      <c r="K527" t="s">
        <v>172</v>
      </c>
      <c r="L527" s="12" t="s">
        <v>292</v>
      </c>
    </row>
    <row r="528" spans="1:12" x14ac:dyDescent="0.35">
      <c r="A528" t="s">
        <v>610</v>
      </c>
      <c r="B528" s="10">
        <v>2346</v>
      </c>
      <c r="C528" s="10">
        <v>388</v>
      </c>
      <c r="D528" s="10">
        <v>14</v>
      </c>
      <c r="E528" s="11" t="s">
        <v>45</v>
      </c>
      <c r="F528" s="11" t="s">
        <v>49</v>
      </c>
      <c r="G528" t="s">
        <v>32</v>
      </c>
      <c r="H528" s="13">
        <v>44922</v>
      </c>
      <c r="I528" s="14" t="s">
        <v>612</v>
      </c>
      <c r="J528" t="s">
        <v>25</v>
      </c>
      <c r="K528" t="s">
        <v>68</v>
      </c>
      <c r="L528" s="12" t="s">
        <v>152</v>
      </c>
    </row>
    <row r="529" spans="1:12" x14ac:dyDescent="0.35">
      <c r="A529" t="s">
        <v>610</v>
      </c>
      <c r="B529" s="10">
        <v>2346</v>
      </c>
      <c r="C529" s="10">
        <v>388</v>
      </c>
      <c r="D529" s="10">
        <v>14</v>
      </c>
      <c r="E529" s="11" t="s">
        <v>45</v>
      </c>
      <c r="F529" s="11" t="s">
        <v>49</v>
      </c>
      <c r="G529" t="s">
        <v>32</v>
      </c>
      <c r="H529" s="13">
        <v>45310</v>
      </c>
      <c r="I529" s="14" t="s">
        <v>613</v>
      </c>
      <c r="J529" t="s">
        <v>42</v>
      </c>
      <c r="K529" t="s">
        <v>75</v>
      </c>
      <c r="L529" s="12" t="s">
        <v>76</v>
      </c>
    </row>
    <row r="530" spans="1:12" x14ac:dyDescent="0.35">
      <c r="A530" t="s">
        <v>614</v>
      </c>
      <c r="B530" s="10">
        <v>7346</v>
      </c>
      <c r="C530" s="10">
        <v>1043</v>
      </c>
      <c r="D530" s="10">
        <v>10</v>
      </c>
      <c r="E530" s="11" t="s">
        <v>45</v>
      </c>
      <c r="F530" s="11" t="s">
        <v>60</v>
      </c>
      <c r="G530" t="s">
        <v>47</v>
      </c>
      <c r="H530" s="13">
        <v>44920</v>
      </c>
      <c r="I530" s="14" t="s">
        <v>615</v>
      </c>
      <c r="J530" t="s">
        <v>98</v>
      </c>
      <c r="K530" t="s">
        <v>99</v>
      </c>
      <c r="L530" s="12" t="s">
        <v>152</v>
      </c>
    </row>
    <row r="531" spans="1:12" x14ac:dyDescent="0.35">
      <c r="A531" t="s">
        <v>614</v>
      </c>
      <c r="B531" s="10">
        <v>9770</v>
      </c>
      <c r="C531" s="10">
        <v>4132</v>
      </c>
      <c r="D531" s="10">
        <v>7</v>
      </c>
      <c r="E531" s="11" t="s">
        <v>13</v>
      </c>
      <c r="F531" s="11" t="s">
        <v>14</v>
      </c>
      <c r="G531" t="s">
        <v>15</v>
      </c>
      <c r="H531" s="13">
        <v>44920</v>
      </c>
      <c r="I531" s="14" t="s">
        <v>615</v>
      </c>
      <c r="J531" t="s">
        <v>98</v>
      </c>
      <c r="K531" t="s">
        <v>99</v>
      </c>
      <c r="L531" s="12" t="s">
        <v>152</v>
      </c>
    </row>
    <row r="532" spans="1:12" x14ac:dyDescent="0.35">
      <c r="A532" t="s">
        <v>614</v>
      </c>
      <c r="B532" s="10">
        <v>7179</v>
      </c>
      <c r="C532" s="10">
        <v>683</v>
      </c>
      <c r="D532" s="10">
        <v>13</v>
      </c>
      <c r="E532" s="11" t="s">
        <v>13</v>
      </c>
      <c r="F532" s="11" t="s">
        <v>39</v>
      </c>
      <c r="G532" t="s">
        <v>47</v>
      </c>
      <c r="H532" s="13">
        <v>44920</v>
      </c>
      <c r="I532" s="14" t="s">
        <v>615</v>
      </c>
      <c r="J532" t="s">
        <v>98</v>
      </c>
      <c r="K532" t="s">
        <v>99</v>
      </c>
      <c r="L532" s="12" t="s">
        <v>152</v>
      </c>
    </row>
    <row r="533" spans="1:12" x14ac:dyDescent="0.35">
      <c r="A533" t="s">
        <v>616</v>
      </c>
      <c r="B533" s="10">
        <v>5449</v>
      </c>
      <c r="C533" s="10">
        <v>2389</v>
      </c>
      <c r="D533" s="10">
        <v>2</v>
      </c>
      <c r="E533" s="11" t="s">
        <v>13</v>
      </c>
      <c r="F533" s="11" t="s">
        <v>82</v>
      </c>
      <c r="G533" t="s">
        <v>15</v>
      </c>
      <c r="H533" s="13">
        <v>44840</v>
      </c>
      <c r="I533" s="14" t="s">
        <v>617</v>
      </c>
      <c r="J533" t="s">
        <v>17</v>
      </c>
      <c r="K533" t="s">
        <v>18</v>
      </c>
      <c r="L533" s="12" t="s">
        <v>96</v>
      </c>
    </row>
    <row r="534" spans="1:12" x14ac:dyDescent="0.35">
      <c r="A534" t="s">
        <v>618</v>
      </c>
      <c r="B534" s="10">
        <v>2895</v>
      </c>
      <c r="C534" s="10">
        <v>104</v>
      </c>
      <c r="D534" s="10">
        <v>6</v>
      </c>
      <c r="E534" s="11" t="s">
        <v>45</v>
      </c>
      <c r="F534" s="11" t="s">
        <v>49</v>
      </c>
      <c r="G534" t="s">
        <v>65</v>
      </c>
      <c r="H534" s="13">
        <v>43948</v>
      </c>
      <c r="I534" s="14" t="s">
        <v>619</v>
      </c>
      <c r="J534" t="s">
        <v>25</v>
      </c>
      <c r="K534" t="s">
        <v>26</v>
      </c>
      <c r="L534" s="12" t="s">
        <v>162</v>
      </c>
    </row>
    <row r="535" spans="1:12" x14ac:dyDescent="0.35">
      <c r="A535" t="s">
        <v>618</v>
      </c>
      <c r="B535" s="10">
        <v>2895</v>
      </c>
      <c r="C535" s="10">
        <v>104</v>
      </c>
      <c r="D535" s="10">
        <v>6</v>
      </c>
      <c r="E535" s="11" t="s">
        <v>45</v>
      </c>
      <c r="F535" s="11" t="s">
        <v>49</v>
      </c>
      <c r="G535" t="s">
        <v>65</v>
      </c>
      <c r="H535" s="13">
        <v>45425</v>
      </c>
      <c r="I535" s="14" t="s">
        <v>620</v>
      </c>
      <c r="J535" t="s">
        <v>71</v>
      </c>
      <c r="K535" t="s">
        <v>138</v>
      </c>
      <c r="L535" s="12" t="s">
        <v>35</v>
      </c>
    </row>
    <row r="536" spans="1:12" x14ac:dyDescent="0.35">
      <c r="A536" t="s">
        <v>618</v>
      </c>
      <c r="B536" s="10">
        <v>697</v>
      </c>
      <c r="C536" s="10">
        <v>116</v>
      </c>
      <c r="D536" s="10">
        <v>1</v>
      </c>
      <c r="E536" s="11" t="s">
        <v>45</v>
      </c>
      <c r="F536" s="11" t="s">
        <v>49</v>
      </c>
      <c r="G536" t="s">
        <v>15</v>
      </c>
      <c r="H536" s="13">
        <v>43948</v>
      </c>
      <c r="I536" s="14" t="s">
        <v>619</v>
      </c>
      <c r="J536" t="s">
        <v>25</v>
      </c>
      <c r="K536" t="s">
        <v>26</v>
      </c>
      <c r="L536" s="12" t="s">
        <v>162</v>
      </c>
    </row>
    <row r="537" spans="1:12" x14ac:dyDescent="0.35">
      <c r="A537" t="s">
        <v>618</v>
      </c>
      <c r="B537" s="10">
        <v>697</v>
      </c>
      <c r="C537" s="10">
        <v>116</v>
      </c>
      <c r="D537" s="10">
        <v>1</v>
      </c>
      <c r="E537" s="11" t="s">
        <v>45</v>
      </c>
      <c r="F537" s="11" t="s">
        <v>49</v>
      </c>
      <c r="G537" t="s">
        <v>15</v>
      </c>
      <c r="H537" s="13">
        <v>45425</v>
      </c>
      <c r="I537" s="14" t="s">
        <v>620</v>
      </c>
      <c r="J537" t="s">
        <v>71</v>
      </c>
      <c r="K537" t="s">
        <v>138</v>
      </c>
      <c r="L537" s="12" t="s">
        <v>35</v>
      </c>
    </row>
    <row r="538" spans="1:12" x14ac:dyDescent="0.35">
      <c r="A538" t="s">
        <v>621</v>
      </c>
      <c r="B538" s="10">
        <v>6145</v>
      </c>
      <c r="C538" s="10">
        <v>1414</v>
      </c>
      <c r="D538" s="10">
        <v>4</v>
      </c>
      <c r="E538" s="11" t="s">
        <v>45</v>
      </c>
      <c r="F538" s="11" t="s">
        <v>49</v>
      </c>
      <c r="G538" t="s">
        <v>65</v>
      </c>
      <c r="H538" s="13">
        <v>44127</v>
      </c>
      <c r="I538" s="14" t="s">
        <v>622</v>
      </c>
      <c r="J538" t="s">
        <v>42</v>
      </c>
      <c r="K538" t="s">
        <v>43</v>
      </c>
      <c r="L538" s="12" t="s">
        <v>119</v>
      </c>
    </row>
    <row r="539" spans="1:12" x14ac:dyDescent="0.35">
      <c r="A539" t="s">
        <v>621</v>
      </c>
      <c r="B539" s="10">
        <v>2504</v>
      </c>
      <c r="C539" s="10">
        <v>440</v>
      </c>
      <c r="D539" s="10">
        <v>18</v>
      </c>
      <c r="E539" s="11" t="s">
        <v>13</v>
      </c>
      <c r="F539" s="11" t="s">
        <v>28</v>
      </c>
      <c r="G539" t="s">
        <v>15</v>
      </c>
      <c r="H539" s="13">
        <v>44127</v>
      </c>
      <c r="I539" s="14" t="s">
        <v>622</v>
      </c>
      <c r="J539" t="s">
        <v>42</v>
      </c>
      <c r="K539" t="s">
        <v>43</v>
      </c>
      <c r="L539" s="12" t="s">
        <v>119</v>
      </c>
    </row>
    <row r="540" spans="1:12" x14ac:dyDescent="0.35">
      <c r="A540" t="s">
        <v>621</v>
      </c>
      <c r="B540" s="10">
        <v>3124</v>
      </c>
      <c r="C540" s="10">
        <v>138</v>
      </c>
      <c r="D540" s="10">
        <v>16</v>
      </c>
      <c r="E540" s="11" t="s">
        <v>13</v>
      </c>
      <c r="F540" s="11" t="s">
        <v>82</v>
      </c>
      <c r="G540" t="s">
        <v>32</v>
      </c>
      <c r="H540" s="13">
        <v>44127</v>
      </c>
      <c r="I540" s="14" t="s">
        <v>622</v>
      </c>
      <c r="J540" t="s">
        <v>42</v>
      </c>
      <c r="K540" t="s">
        <v>43</v>
      </c>
      <c r="L540" s="12" t="s">
        <v>119</v>
      </c>
    </row>
    <row r="541" spans="1:12" x14ac:dyDescent="0.35">
      <c r="A541" t="s">
        <v>623</v>
      </c>
      <c r="B541" s="10">
        <v>6934</v>
      </c>
      <c r="C541" s="10">
        <v>1226</v>
      </c>
      <c r="D541" s="10">
        <v>1</v>
      </c>
      <c r="E541" s="11" t="s">
        <v>13</v>
      </c>
      <c r="F541" s="11" t="s">
        <v>14</v>
      </c>
      <c r="G541" t="s">
        <v>32</v>
      </c>
      <c r="H541" s="13">
        <v>44358</v>
      </c>
      <c r="I541" s="14" t="s">
        <v>624</v>
      </c>
      <c r="J541" t="s">
        <v>98</v>
      </c>
      <c r="K541" t="s">
        <v>107</v>
      </c>
      <c r="L541" s="12" t="s">
        <v>125</v>
      </c>
    </row>
    <row r="542" spans="1:12" x14ac:dyDescent="0.35">
      <c r="A542" t="s">
        <v>623</v>
      </c>
      <c r="B542" s="10">
        <v>6934</v>
      </c>
      <c r="C542" s="10">
        <v>1226</v>
      </c>
      <c r="D542" s="10">
        <v>1</v>
      </c>
      <c r="E542" s="11" t="s">
        <v>13</v>
      </c>
      <c r="F542" s="11" t="s">
        <v>14</v>
      </c>
      <c r="G542" t="s">
        <v>32</v>
      </c>
      <c r="H542" s="13">
        <v>44447</v>
      </c>
      <c r="I542" s="14" t="s">
        <v>595</v>
      </c>
      <c r="J542" t="s">
        <v>25</v>
      </c>
      <c r="K542" t="s">
        <v>68</v>
      </c>
      <c r="L542" s="12" t="s">
        <v>224</v>
      </c>
    </row>
    <row r="543" spans="1:12" x14ac:dyDescent="0.35">
      <c r="A543" t="s">
        <v>625</v>
      </c>
      <c r="B543" s="10">
        <v>4202</v>
      </c>
      <c r="C543" s="10">
        <v>1171</v>
      </c>
      <c r="D543" s="10">
        <v>3</v>
      </c>
      <c r="E543" s="11" t="s">
        <v>30</v>
      </c>
      <c r="F543" s="11" t="s">
        <v>57</v>
      </c>
      <c r="G543" t="s">
        <v>65</v>
      </c>
      <c r="H543" s="13">
        <v>44888</v>
      </c>
      <c r="I543" s="14" t="s">
        <v>626</v>
      </c>
      <c r="J543" t="s">
        <v>21</v>
      </c>
      <c r="K543" t="s">
        <v>172</v>
      </c>
      <c r="L543" s="12" t="s">
        <v>44</v>
      </c>
    </row>
    <row r="544" spans="1:12" x14ac:dyDescent="0.35">
      <c r="A544" t="s">
        <v>625</v>
      </c>
      <c r="B544" s="10">
        <v>4202</v>
      </c>
      <c r="C544" s="10">
        <v>1171</v>
      </c>
      <c r="D544" s="10">
        <v>3</v>
      </c>
      <c r="E544" s="11" t="s">
        <v>30</v>
      </c>
      <c r="F544" s="11" t="s">
        <v>57</v>
      </c>
      <c r="G544" t="s">
        <v>65</v>
      </c>
      <c r="H544" s="13">
        <v>44865</v>
      </c>
      <c r="I544" s="14" t="s">
        <v>627</v>
      </c>
      <c r="J544" t="s">
        <v>25</v>
      </c>
      <c r="K544" t="s">
        <v>68</v>
      </c>
      <c r="L544" s="12" t="s">
        <v>96</v>
      </c>
    </row>
    <row r="545" spans="1:12" x14ac:dyDescent="0.35">
      <c r="A545" t="s">
        <v>625</v>
      </c>
      <c r="B545" s="10">
        <v>4202</v>
      </c>
      <c r="C545" s="10">
        <v>1171</v>
      </c>
      <c r="D545" s="10">
        <v>3</v>
      </c>
      <c r="E545" s="11" t="s">
        <v>30</v>
      </c>
      <c r="F545" s="11" t="s">
        <v>57</v>
      </c>
      <c r="G545" t="s">
        <v>65</v>
      </c>
      <c r="H545" s="13">
        <v>45236</v>
      </c>
      <c r="I545" s="14" t="s">
        <v>628</v>
      </c>
      <c r="J545" t="s">
        <v>17</v>
      </c>
      <c r="K545" t="s">
        <v>150</v>
      </c>
      <c r="L545" s="12" t="s">
        <v>52</v>
      </c>
    </row>
    <row r="546" spans="1:12" x14ac:dyDescent="0.35">
      <c r="A546" t="s">
        <v>625</v>
      </c>
      <c r="B546" s="10">
        <v>4202</v>
      </c>
      <c r="C546" s="10">
        <v>1171</v>
      </c>
      <c r="D546" s="10">
        <v>3</v>
      </c>
      <c r="E546" s="11" t="s">
        <v>30</v>
      </c>
      <c r="F546" s="11" t="s">
        <v>57</v>
      </c>
      <c r="G546" t="s">
        <v>65</v>
      </c>
      <c r="H546" s="13">
        <v>45242</v>
      </c>
      <c r="I546" s="14" t="s">
        <v>629</v>
      </c>
      <c r="J546" t="s">
        <v>71</v>
      </c>
      <c r="K546" t="s">
        <v>138</v>
      </c>
      <c r="L546" s="12" t="s">
        <v>52</v>
      </c>
    </row>
    <row r="547" spans="1:12" x14ac:dyDescent="0.35">
      <c r="A547" t="s">
        <v>630</v>
      </c>
      <c r="B547" s="10">
        <v>2239</v>
      </c>
      <c r="C547" s="10">
        <v>828</v>
      </c>
      <c r="D547" s="10">
        <v>1</v>
      </c>
      <c r="E547" s="11" t="s">
        <v>13</v>
      </c>
      <c r="F547" s="11" t="s">
        <v>28</v>
      </c>
      <c r="G547" t="s">
        <v>15</v>
      </c>
      <c r="H547" s="13">
        <v>45103</v>
      </c>
      <c r="I547" s="14" t="s">
        <v>631</v>
      </c>
      <c r="J547" t="s">
        <v>42</v>
      </c>
      <c r="K547" t="s">
        <v>43</v>
      </c>
      <c r="L547" s="12" t="s">
        <v>19</v>
      </c>
    </row>
    <row r="548" spans="1:12" x14ac:dyDescent="0.35">
      <c r="A548" t="s">
        <v>630</v>
      </c>
      <c r="B548" s="10">
        <v>2239</v>
      </c>
      <c r="C548" s="10">
        <v>828</v>
      </c>
      <c r="D548" s="10">
        <v>1</v>
      </c>
      <c r="E548" s="11" t="s">
        <v>13</v>
      </c>
      <c r="F548" s="11" t="s">
        <v>28</v>
      </c>
      <c r="G548" t="s">
        <v>15</v>
      </c>
      <c r="H548" s="13">
        <v>45199</v>
      </c>
      <c r="I548" s="14" t="s">
        <v>632</v>
      </c>
      <c r="J548" t="s">
        <v>21</v>
      </c>
      <c r="K548" t="s">
        <v>22</v>
      </c>
      <c r="L548" s="12" t="s">
        <v>273</v>
      </c>
    </row>
    <row r="549" spans="1:12" x14ac:dyDescent="0.35">
      <c r="A549" t="s">
        <v>630</v>
      </c>
      <c r="B549" s="10">
        <v>2450</v>
      </c>
      <c r="C549" s="10">
        <v>1002</v>
      </c>
      <c r="D549" s="10">
        <v>4</v>
      </c>
      <c r="E549" s="11" t="s">
        <v>13</v>
      </c>
      <c r="F549" s="11" t="s">
        <v>82</v>
      </c>
      <c r="G549" t="s">
        <v>32</v>
      </c>
      <c r="H549" s="13">
        <v>45103</v>
      </c>
      <c r="I549" s="14" t="s">
        <v>631</v>
      </c>
      <c r="J549" t="s">
        <v>42</v>
      </c>
      <c r="K549" t="s">
        <v>43</v>
      </c>
      <c r="L549" s="12" t="s">
        <v>19</v>
      </c>
    </row>
    <row r="550" spans="1:12" x14ac:dyDescent="0.35">
      <c r="A550" t="s">
        <v>630</v>
      </c>
      <c r="B550" s="10">
        <v>2450</v>
      </c>
      <c r="C550" s="10">
        <v>1002</v>
      </c>
      <c r="D550" s="10">
        <v>4</v>
      </c>
      <c r="E550" s="11" t="s">
        <v>13</v>
      </c>
      <c r="F550" s="11" t="s">
        <v>82</v>
      </c>
      <c r="G550" t="s">
        <v>32</v>
      </c>
      <c r="H550" s="13">
        <v>45199</v>
      </c>
      <c r="I550" s="14" t="s">
        <v>632</v>
      </c>
      <c r="J550" t="s">
        <v>21</v>
      </c>
      <c r="K550" t="s">
        <v>22</v>
      </c>
      <c r="L550" s="12" t="s">
        <v>273</v>
      </c>
    </row>
    <row r="551" spans="1:12" x14ac:dyDescent="0.35">
      <c r="A551" t="s">
        <v>633</v>
      </c>
      <c r="B551" s="10">
        <v>9827</v>
      </c>
      <c r="C551" s="10">
        <v>4208</v>
      </c>
      <c r="D551" s="10">
        <v>13</v>
      </c>
      <c r="E551" s="11" t="s">
        <v>45</v>
      </c>
      <c r="F551" s="11" t="s">
        <v>49</v>
      </c>
      <c r="G551" t="s">
        <v>32</v>
      </c>
      <c r="H551" s="13">
        <v>44086</v>
      </c>
      <c r="I551" s="14" t="s">
        <v>634</v>
      </c>
      <c r="J551" t="s">
        <v>25</v>
      </c>
      <c r="K551" t="s">
        <v>51</v>
      </c>
      <c r="L551" s="12" t="s">
        <v>389</v>
      </c>
    </row>
    <row r="552" spans="1:12" x14ac:dyDescent="0.35">
      <c r="A552" t="s">
        <v>633</v>
      </c>
      <c r="B552" s="10">
        <v>8077</v>
      </c>
      <c r="C552" s="10">
        <v>240</v>
      </c>
      <c r="D552" s="10">
        <v>15</v>
      </c>
      <c r="E552" s="11" t="s">
        <v>45</v>
      </c>
      <c r="F552" s="11" t="s">
        <v>60</v>
      </c>
      <c r="G552" t="s">
        <v>47</v>
      </c>
      <c r="H552" s="13">
        <v>44086</v>
      </c>
      <c r="I552" s="14" t="s">
        <v>634</v>
      </c>
      <c r="J552" t="s">
        <v>25</v>
      </c>
      <c r="K552" t="s">
        <v>51</v>
      </c>
      <c r="L552" s="12" t="s">
        <v>389</v>
      </c>
    </row>
    <row r="553" spans="1:12" x14ac:dyDescent="0.35">
      <c r="A553" t="s">
        <v>635</v>
      </c>
      <c r="B553" s="10">
        <v>5152</v>
      </c>
      <c r="C553" s="10">
        <v>2045</v>
      </c>
      <c r="D553" s="10">
        <v>14</v>
      </c>
      <c r="E553" s="11" t="s">
        <v>13</v>
      </c>
      <c r="F553" s="11" t="s">
        <v>82</v>
      </c>
      <c r="G553" t="s">
        <v>15</v>
      </c>
      <c r="H553" s="13">
        <v>44162</v>
      </c>
      <c r="I553" s="14" t="s">
        <v>636</v>
      </c>
      <c r="J553" t="s">
        <v>21</v>
      </c>
      <c r="K553" t="s">
        <v>63</v>
      </c>
      <c r="L553" s="12" t="s">
        <v>80</v>
      </c>
    </row>
    <row r="554" spans="1:12" x14ac:dyDescent="0.35">
      <c r="A554" t="s">
        <v>635</v>
      </c>
      <c r="B554" s="10">
        <v>5152</v>
      </c>
      <c r="C554" s="10">
        <v>2045</v>
      </c>
      <c r="D554" s="10">
        <v>14</v>
      </c>
      <c r="E554" s="11" t="s">
        <v>13</v>
      </c>
      <c r="F554" s="11" t="s">
        <v>82</v>
      </c>
      <c r="G554" t="s">
        <v>15</v>
      </c>
      <c r="H554" s="13">
        <v>44798</v>
      </c>
      <c r="I554" s="14" t="s">
        <v>637</v>
      </c>
      <c r="J554" t="s">
        <v>42</v>
      </c>
      <c r="K554" t="s">
        <v>43</v>
      </c>
      <c r="L554" s="12" t="s">
        <v>209</v>
      </c>
    </row>
    <row r="555" spans="1:12" x14ac:dyDescent="0.35">
      <c r="A555" t="s">
        <v>635</v>
      </c>
      <c r="B555" s="10">
        <v>5152</v>
      </c>
      <c r="C555" s="10">
        <v>2045</v>
      </c>
      <c r="D555" s="10">
        <v>14</v>
      </c>
      <c r="E555" s="11" t="s">
        <v>13</v>
      </c>
      <c r="F555" s="11" t="s">
        <v>82</v>
      </c>
      <c r="G555" t="s">
        <v>15</v>
      </c>
      <c r="H555" s="13">
        <v>45161</v>
      </c>
      <c r="I555" s="14" t="s">
        <v>638</v>
      </c>
      <c r="J555" t="s">
        <v>21</v>
      </c>
      <c r="K555" t="s">
        <v>22</v>
      </c>
      <c r="L555" s="12" t="s">
        <v>121</v>
      </c>
    </row>
    <row r="556" spans="1:12" x14ac:dyDescent="0.35">
      <c r="A556" t="s">
        <v>635</v>
      </c>
      <c r="B556" s="10">
        <v>5152</v>
      </c>
      <c r="C556" s="10">
        <v>2045</v>
      </c>
      <c r="D556" s="10">
        <v>14</v>
      </c>
      <c r="E556" s="11" t="s">
        <v>13</v>
      </c>
      <c r="F556" s="11" t="s">
        <v>82</v>
      </c>
      <c r="G556" t="s">
        <v>15</v>
      </c>
      <c r="H556" s="13">
        <v>45210</v>
      </c>
      <c r="I556" s="14" t="s">
        <v>639</v>
      </c>
      <c r="J556" t="s">
        <v>25</v>
      </c>
      <c r="K556" t="s">
        <v>68</v>
      </c>
      <c r="L556" s="12" t="s">
        <v>442</v>
      </c>
    </row>
    <row r="557" spans="1:12" x14ac:dyDescent="0.35">
      <c r="A557" t="s">
        <v>640</v>
      </c>
      <c r="B557" s="10">
        <v>2542</v>
      </c>
      <c r="C557" s="10">
        <v>190</v>
      </c>
      <c r="D557" s="10">
        <v>1</v>
      </c>
      <c r="E557" s="11" t="s">
        <v>30</v>
      </c>
      <c r="F557" s="11" t="s">
        <v>57</v>
      </c>
      <c r="G557" t="s">
        <v>47</v>
      </c>
      <c r="H557" s="13">
        <v>44672</v>
      </c>
      <c r="I557" s="14" t="s">
        <v>641</v>
      </c>
      <c r="J557" t="s">
        <v>71</v>
      </c>
      <c r="K557" t="s">
        <v>138</v>
      </c>
      <c r="L557" s="12" t="s">
        <v>187</v>
      </c>
    </row>
    <row r="558" spans="1:12" x14ac:dyDescent="0.35">
      <c r="A558" t="s">
        <v>642</v>
      </c>
      <c r="B558" s="10">
        <v>8102</v>
      </c>
      <c r="C558" s="10">
        <v>1800</v>
      </c>
      <c r="D558" s="10">
        <v>5</v>
      </c>
      <c r="E558" s="11" t="s">
        <v>30</v>
      </c>
      <c r="F558" s="11" t="s">
        <v>57</v>
      </c>
      <c r="G558" t="s">
        <v>15</v>
      </c>
      <c r="H558" s="13">
        <v>45183</v>
      </c>
      <c r="I558" s="14" t="s">
        <v>643</v>
      </c>
      <c r="J558" t="s">
        <v>42</v>
      </c>
      <c r="K558" t="s">
        <v>92</v>
      </c>
      <c r="L558" s="12" t="s">
        <v>273</v>
      </c>
    </row>
    <row r="559" spans="1:12" x14ac:dyDescent="0.35">
      <c r="A559" t="s">
        <v>642</v>
      </c>
      <c r="B559" s="10">
        <v>8102</v>
      </c>
      <c r="C559" s="10">
        <v>1800</v>
      </c>
      <c r="D559" s="10">
        <v>5</v>
      </c>
      <c r="E559" s="11" t="s">
        <v>30</v>
      </c>
      <c r="F559" s="11" t="s">
        <v>57</v>
      </c>
      <c r="G559" t="s">
        <v>15</v>
      </c>
      <c r="H559" s="13">
        <v>43950</v>
      </c>
      <c r="I559" s="14" t="s">
        <v>644</v>
      </c>
      <c r="J559" t="s">
        <v>25</v>
      </c>
      <c r="K559" t="s">
        <v>26</v>
      </c>
      <c r="L559" s="12" t="s">
        <v>162</v>
      </c>
    </row>
    <row r="560" spans="1:12" x14ac:dyDescent="0.35">
      <c r="A560" t="s">
        <v>642</v>
      </c>
      <c r="B560" s="10">
        <v>8102</v>
      </c>
      <c r="C560" s="10">
        <v>1800</v>
      </c>
      <c r="D560" s="10">
        <v>5</v>
      </c>
      <c r="E560" s="11" t="s">
        <v>30</v>
      </c>
      <c r="F560" s="11" t="s">
        <v>57</v>
      </c>
      <c r="G560" t="s">
        <v>15</v>
      </c>
      <c r="H560" s="13">
        <v>44180</v>
      </c>
      <c r="I560" s="14" t="s">
        <v>645</v>
      </c>
      <c r="J560" t="s">
        <v>98</v>
      </c>
      <c r="K560" t="s">
        <v>117</v>
      </c>
      <c r="L560" s="12" t="s">
        <v>287</v>
      </c>
    </row>
    <row r="561" spans="1:12" x14ac:dyDescent="0.35">
      <c r="A561" t="s">
        <v>642</v>
      </c>
      <c r="B561" s="10">
        <v>3234</v>
      </c>
      <c r="C561" s="10">
        <v>1274</v>
      </c>
      <c r="D561" s="10">
        <v>10</v>
      </c>
      <c r="E561" s="11" t="s">
        <v>45</v>
      </c>
      <c r="F561" s="11" t="s">
        <v>46</v>
      </c>
      <c r="G561" t="s">
        <v>40</v>
      </c>
      <c r="H561" s="13">
        <v>45183</v>
      </c>
      <c r="I561" s="14" t="s">
        <v>643</v>
      </c>
      <c r="J561" t="s">
        <v>42</v>
      </c>
      <c r="K561" t="s">
        <v>92</v>
      </c>
      <c r="L561" s="12" t="s">
        <v>273</v>
      </c>
    </row>
    <row r="562" spans="1:12" x14ac:dyDescent="0.35">
      <c r="A562" t="s">
        <v>642</v>
      </c>
      <c r="B562" s="10">
        <v>3234</v>
      </c>
      <c r="C562" s="10">
        <v>1274</v>
      </c>
      <c r="D562" s="10">
        <v>10</v>
      </c>
      <c r="E562" s="11" t="s">
        <v>45</v>
      </c>
      <c r="F562" s="11" t="s">
        <v>46</v>
      </c>
      <c r="G562" t="s">
        <v>40</v>
      </c>
      <c r="H562" s="13">
        <v>43950</v>
      </c>
      <c r="I562" s="14" t="s">
        <v>644</v>
      </c>
      <c r="J562" t="s">
        <v>25</v>
      </c>
      <c r="K562" t="s">
        <v>26</v>
      </c>
      <c r="L562" s="12" t="s">
        <v>162</v>
      </c>
    </row>
    <row r="563" spans="1:12" x14ac:dyDescent="0.35">
      <c r="A563" t="s">
        <v>642</v>
      </c>
      <c r="B563" s="10">
        <v>3234</v>
      </c>
      <c r="C563" s="10">
        <v>1274</v>
      </c>
      <c r="D563" s="10">
        <v>10</v>
      </c>
      <c r="E563" s="11" t="s">
        <v>45</v>
      </c>
      <c r="F563" s="11" t="s">
        <v>46</v>
      </c>
      <c r="G563" t="s">
        <v>40</v>
      </c>
      <c r="H563" s="13">
        <v>44180</v>
      </c>
      <c r="I563" s="14" t="s">
        <v>645</v>
      </c>
      <c r="J563" t="s">
        <v>98</v>
      </c>
      <c r="K563" t="s">
        <v>117</v>
      </c>
      <c r="L563" s="12" t="s">
        <v>287</v>
      </c>
    </row>
    <row r="564" spans="1:12" x14ac:dyDescent="0.35">
      <c r="A564" t="s">
        <v>646</v>
      </c>
      <c r="B564" s="10">
        <v>6200</v>
      </c>
      <c r="C564" s="10">
        <v>2321</v>
      </c>
      <c r="D564" s="10">
        <v>18</v>
      </c>
      <c r="E564" s="11" t="s">
        <v>45</v>
      </c>
      <c r="F564" s="11" t="s">
        <v>46</v>
      </c>
      <c r="G564" t="s">
        <v>47</v>
      </c>
      <c r="H564" s="13">
        <v>45484</v>
      </c>
      <c r="I564" s="14" t="s">
        <v>647</v>
      </c>
      <c r="J564" t="s">
        <v>42</v>
      </c>
      <c r="K564" t="s">
        <v>43</v>
      </c>
      <c r="L564" s="12" t="s">
        <v>215</v>
      </c>
    </row>
    <row r="565" spans="1:12" x14ac:dyDescent="0.35">
      <c r="A565" t="s">
        <v>646</v>
      </c>
      <c r="B565" s="10">
        <v>6200</v>
      </c>
      <c r="C565" s="10">
        <v>2321</v>
      </c>
      <c r="D565" s="10">
        <v>18</v>
      </c>
      <c r="E565" s="11" t="s">
        <v>45</v>
      </c>
      <c r="F565" s="11" t="s">
        <v>46</v>
      </c>
      <c r="G565" t="s">
        <v>47</v>
      </c>
      <c r="H565" s="13">
        <v>45556</v>
      </c>
      <c r="I565" s="14" t="s">
        <v>648</v>
      </c>
      <c r="J565" t="s">
        <v>17</v>
      </c>
      <c r="K565" t="s">
        <v>18</v>
      </c>
      <c r="L565" s="12" t="s">
        <v>159</v>
      </c>
    </row>
    <row r="566" spans="1:12" x14ac:dyDescent="0.35">
      <c r="A566" t="s">
        <v>649</v>
      </c>
      <c r="B566" s="10">
        <v>4470</v>
      </c>
      <c r="C566" s="10">
        <v>413</v>
      </c>
      <c r="D566" s="10">
        <v>13</v>
      </c>
      <c r="E566" s="11" t="s">
        <v>13</v>
      </c>
      <c r="F566" s="11" t="s">
        <v>39</v>
      </c>
      <c r="G566" t="s">
        <v>15</v>
      </c>
      <c r="H566" s="13">
        <v>45690</v>
      </c>
      <c r="I566" s="14" t="s">
        <v>650</v>
      </c>
      <c r="J566" t="s">
        <v>42</v>
      </c>
      <c r="K566" t="s">
        <v>43</v>
      </c>
      <c r="L566" s="12" t="s">
        <v>73</v>
      </c>
    </row>
    <row r="567" spans="1:12" x14ac:dyDescent="0.35">
      <c r="A567" t="s">
        <v>651</v>
      </c>
      <c r="B567" s="10">
        <v>916</v>
      </c>
      <c r="C567" s="10">
        <v>362</v>
      </c>
      <c r="D567" s="10">
        <v>7</v>
      </c>
      <c r="E567" s="11" t="s">
        <v>30</v>
      </c>
      <c r="F567" s="11" t="s">
        <v>31</v>
      </c>
      <c r="G567" t="s">
        <v>15</v>
      </c>
      <c r="H567" s="13">
        <v>44855</v>
      </c>
      <c r="I567" s="14" t="s">
        <v>652</v>
      </c>
      <c r="J567" t="s">
        <v>21</v>
      </c>
      <c r="K567" t="s">
        <v>63</v>
      </c>
      <c r="L567" s="12" t="s">
        <v>96</v>
      </c>
    </row>
    <row r="568" spans="1:12" x14ac:dyDescent="0.35">
      <c r="A568" t="s">
        <v>651</v>
      </c>
      <c r="B568" s="10">
        <v>916</v>
      </c>
      <c r="C568" s="10">
        <v>362</v>
      </c>
      <c r="D568" s="10">
        <v>7</v>
      </c>
      <c r="E568" s="11" t="s">
        <v>30</v>
      </c>
      <c r="F568" s="11" t="s">
        <v>31</v>
      </c>
      <c r="G568" t="s">
        <v>15</v>
      </c>
      <c r="H568" s="13">
        <v>44125</v>
      </c>
      <c r="I568" s="14" t="s">
        <v>653</v>
      </c>
      <c r="J568" t="s">
        <v>42</v>
      </c>
      <c r="K568" t="s">
        <v>92</v>
      </c>
      <c r="L568" s="12" t="s">
        <v>119</v>
      </c>
    </row>
    <row r="569" spans="1:12" x14ac:dyDescent="0.35">
      <c r="A569" t="s">
        <v>651</v>
      </c>
      <c r="B569" s="10">
        <v>1165</v>
      </c>
      <c r="C569" s="10">
        <v>302</v>
      </c>
      <c r="D569" s="10">
        <v>20</v>
      </c>
      <c r="E569" s="11" t="s">
        <v>45</v>
      </c>
      <c r="F569" s="11" t="s">
        <v>60</v>
      </c>
      <c r="G569" t="s">
        <v>15</v>
      </c>
      <c r="H569" s="13">
        <v>44855</v>
      </c>
      <c r="I569" s="14" t="s">
        <v>652</v>
      </c>
      <c r="J569" t="s">
        <v>21</v>
      </c>
      <c r="K569" t="s">
        <v>63</v>
      </c>
      <c r="L569" s="12" t="s">
        <v>96</v>
      </c>
    </row>
    <row r="570" spans="1:12" x14ac:dyDescent="0.35">
      <c r="A570" t="s">
        <v>651</v>
      </c>
      <c r="B570" s="10">
        <v>1165</v>
      </c>
      <c r="C570" s="10">
        <v>302</v>
      </c>
      <c r="D570" s="10">
        <v>20</v>
      </c>
      <c r="E570" s="11" t="s">
        <v>45</v>
      </c>
      <c r="F570" s="11" t="s">
        <v>60</v>
      </c>
      <c r="G570" t="s">
        <v>15</v>
      </c>
      <c r="H570" s="13">
        <v>44125</v>
      </c>
      <c r="I570" s="14" t="s">
        <v>653</v>
      </c>
      <c r="J570" t="s">
        <v>42</v>
      </c>
      <c r="K570" t="s">
        <v>92</v>
      </c>
      <c r="L570" s="12" t="s">
        <v>119</v>
      </c>
    </row>
    <row r="571" spans="1:12" x14ac:dyDescent="0.35">
      <c r="A571" t="s">
        <v>651</v>
      </c>
      <c r="B571" s="10">
        <v>7846</v>
      </c>
      <c r="C571" s="10">
        <v>677</v>
      </c>
      <c r="D571" s="10">
        <v>12</v>
      </c>
      <c r="E571" s="11" t="s">
        <v>45</v>
      </c>
      <c r="F571" s="11" t="s">
        <v>49</v>
      </c>
      <c r="G571" t="s">
        <v>15</v>
      </c>
      <c r="H571" s="13">
        <v>44855</v>
      </c>
      <c r="I571" s="14" t="s">
        <v>652</v>
      </c>
      <c r="J571" t="s">
        <v>21</v>
      </c>
      <c r="K571" t="s">
        <v>63</v>
      </c>
      <c r="L571" s="12" t="s">
        <v>96</v>
      </c>
    </row>
    <row r="572" spans="1:12" x14ac:dyDescent="0.35">
      <c r="A572" t="s">
        <v>651</v>
      </c>
      <c r="B572" s="10">
        <v>7846</v>
      </c>
      <c r="C572" s="10">
        <v>677</v>
      </c>
      <c r="D572" s="10">
        <v>12</v>
      </c>
      <c r="E572" s="11" t="s">
        <v>45</v>
      </c>
      <c r="F572" s="11" t="s">
        <v>49</v>
      </c>
      <c r="G572" t="s">
        <v>15</v>
      </c>
      <c r="H572" s="13">
        <v>44125</v>
      </c>
      <c r="I572" s="14" t="s">
        <v>653</v>
      </c>
      <c r="J572" t="s">
        <v>42</v>
      </c>
      <c r="K572" t="s">
        <v>92</v>
      </c>
      <c r="L572" s="12" t="s">
        <v>119</v>
      </c>
    </row>
    <row r="573" spans="1:12" x14ac:dyDescent="0.35">
      <c r="A573" t="s">
        <v>654</v>
      </c>
      <c r="B573" s="10">
        <v>3022</v>
      </c>
      <c r="C573" s="10">
        <v>384</v>
      </c>
      <c r="D573" s="10">
        <v>1</v>
      </c>
      <c r="E573" s="11" t="s">
        <v>30</v>
      </c>
      <c r="F573" s="11" t="s">
        <v>31</v>
      </c>
      <c r="G573" t="s">
        <v>47</v>
      </c>
      <c r="H573" s="13">
        <v>44572</v>
      </c>
      <c r="I573" s="14" t="s">
        <v>655</v>
      </c>
      <c r="J573" t="s">
        <v>71</v>
      </c>
      <c r="K573" t="s">
        <v>86</v>
      </c>
      <c r="L573" s="12" t="s">
        <v>87</v>
      </c>
    </row>
    <row r="574" spans="1:12" x14ac:dyDescent="0.35">
      <c r="A574" t="s">
        <v>654</v>
      </c>
      <c r="B574" s="10">
        <v>3022</v>
      </c>
      <c r="C574" s="10">
        <v>384</v>
      </c>
      <c r="D574" s="10">
        <v>1</v>
      </c>
      <c r="E574" s="11" t="s">
        <v>30</v>
      </c>
      <c r="F574" s="11" t="s">
        <v>31</v>
      </c>
      <c r="G574" t="s">
        <v>47</v>
      </c>
      <c r="H574" s="13">
        <v>44244</v>
      </c>
      <c r="I574" s="14" t="s">
        <v>656</v>
      </c>
      <c r="J574" t="s">
        <v>21</v>
      </c>
      <c r="K574" t="s">
        <v>22</v>
      </c>
      <c r="L574" s="12" t="s">
        <v>292</v>
      </c>
    </row>
    <row r="575" spans="1:12" x14ac:dyDescent="0.35">
      <c r="A575" t="s">
        <v>654</v>
      </c>
      <c r="B575" s="10">
        <v>5266</v>
      </c>
      <c r="C575" s="10">
        <v>1111</v>
      </c>
      <c r="D575" s="10">
        <v>13</v>
      </c>
      <c r="E575" s="11" t="s">
        <v>13</v>
      </c>
      <c r="F575" s="11" t="s">
        <v>14</v>
      </c>
      <c r="G575" t="s">
        <v>32</v>
      </c>
      <c r="H575" s="13">
        <v>44572</v>
      </c>
      <c r="I575" s="14" t="s">
        <v>655</v>
      </c>
      <c r="J575" t="s">
        <v>71</v>
      </c>
      <c r="K575" t="s">
        <v>86</v>
      </c>
      <c r="L575" s="12" t="s">
        <v>87</v>
      </c>
    </row>
    <row r="576" spans="1:12" x14ac:dyDescent="0.35">
      <c r="A576" t="s">
        <v>654</v>
      </c>
      <c r="B576" s="10">
        <v>5266</v>
      </c>
      <c r="C576" s="10">
        <v>1111</v>
      </c>
      <c r="D576" s="10">
        <v>13</v>
      </c>
      <c r="E576" s="11" t="s">
        <v>13</v>
      </c>
      <c r="F576" s="11" t="s">
        <v>14</v>
      </c>
      <c r="G576" t="s">
        <v>32</v>
      </c>
      <c r="H576" s="13">
        <v>44244</v>
      </c>
      <c r="I576" s="14" t="s">
        <v>656</v>
      </c>
      <c r="J576" t="s">
        <v>21</v>
      </c>
      <c r="K576" t="s">
        <v>22</v>
      </c>
      <c r="L576" s="12" t="s">
        <v>292</v>
      </c>
    </row>
    <row r="577" spans="1:12" x14ac:dyDescent="0.35">
      <c r="A577" t="s">
        <v>657</v>
      </c>
      <c r="B577" s="10">
        <v>4853</v>
      </c>
      <c r="C577" s="10">
        <v>1764</v>
      </c>
      <c r="D577" s="10">
        <v>9</v>
      </c>
      <c r="E577" s="11" t="s">
        <v>30</v>
      </c>
      <c r="F577" s="11" t="s">
        <v>31</v>
      </c>
      <c r="G577" t="s">
        <v>32</v>
      </c>
      <c r="H577" s="13">
        <v>44506</v>
      </c>
      <c r="I577" s="14" t="s">
        <v>658</v>
      </c>
      <c r="J577" t="s">
        <v>17</v>
      </c>
      <c r="K577" t="s">
        <v>34</v>
      </c>
      <c r="L577" s="12" t="s">
        <v>175</v>
      </c>
    </row>
    <row r="578" spans="1:12" x14ac:dyDescent="0.35">
      <c r="A578" t="s">
        <v>657</v>
      </c>
      <c r="B578" s="10">
        <v>4853</v>
      </c>
      <c r="C578" s="10">
        <v>1764</v>
      </c>
      <c r="D578" s="10">
        <v>9</v>
      </c>
      <c r="E578" s="11" t="s">
        <v>30</v>
      </c>
      <c r="F578" s="11" t="s">
        <v>31</v>
      </c>
      <c r="G578" t="s">
        <v>32</v>
      </c>
      <c r="H578" s="13">
        <v>44803</v>
      </c>
      <c r="I578" s="14" t="s">
        <v>659</v>
      </c>
      <c r="J578" t="s">
        <v>71</v>
      </c>
      <c r="K578" t="s">
        <v>138</v>
      </c>
      <c r="L578" s="12" t="s">
        <v>209</v>
      </c>
    </row>
    <row r="579" spans="1:12" x14ac:dyDescent="0.35">
      <c r="A579" t="s">
        <v>660</v>
      </c>
      <c r="B579" s="10">
        <v>9832</v>
      </c>
      <c r="C579" s="10">
        <v>1270</v>
      </c>
      <c r="D579" s="10">
        <v>1</v>
      </c>
      <c r="E579" s="11" t="s">
        <v>30</v>
      </c>
      <c r="F579" s="11" t="s">
        <v>31</v>
      </c>
      <c r="G579" t="s">
        <v>65</v>
      </c>
      <c r="H579" s="13">
        <v>44841</v>
      </c>
      <c r="I579" s="14" t="s">
        <v>661</v>
      </c>
      <c r="J579" t="s">
        <v>42</v>
      </c>
      <c r="K579" t="s">
        <v>92</v>
      </c>
      <c r="L579" s="12" t="s">
        <v>96</v>
      </c>
    </row>
    <row r="580" spans="1:12" x14ac:dyDescent="0.35">
      <c r="A580" t="s">
        <v>660</v>
      </c>
      <c r="B580" s="10">
        <v>796</v>
      </c>
      <c r="C580" s="10">
        <v>153</v>
      </c>
      <c r="D580" s="10">
        <v>15</v>
      </c>
      <c r="E580" s="11" t="s">
        <v>30</v>
      </c>
      <c r="F580" s="11" t="s">
        <v>31</v>
      </c>
      <c r="G580" t="s">
        <v>47</v>
      </c>
      <c r="H580" s="13">
        <v>44841</v>
      </c>
      <c r="I580" s="14" t="s">
        <v>661</v>
      </c>
      <c r="J580" t="s">
        <v>42</v>
      </c>
      <c r="K580" t="s">
        <v>92</v>
      </c>
      <c r="L580" s="12" t="s">
        <v>96</v>
      </c>
    </row>
    <row r="581" spans="1:12" x14ac:dyDescent="0.35">
      <c r="A581" t="s">
        <v>662</v>
      </c>
      <c r="B581" s="10">
        <v>883</v>
      </c>
      <c r="C581" s="10">
        <v>127</v>
      </c>
      <c r="D581" s="10">
        <v>7</v>
      </c>
      <c r="E581" s="11" t="s">
        <v>45</v>
      </c>
      <c r="F581" s="11" t="s">
        <v>49</v>
      </c>
      <c r="G581" t="s">
        <v>65</v>
      </c>
      <c r="H581" s="13">
        <v>45081</v>
      </c>
      <c r="I581" s="14" t="s">
        <v>663</v>
      </c>
      <c r="J581" t="s">
        <v>42</v>
      </c>
      <c r="K581" t="s">
        <v>92</v>
      </c>
      <c r="L581" s="12" t="s">
        <v>19</v>
      </c>
    </row>
    <row r="582" spans="1:12" x14ac:dyDescent="0.35">
      <c r="A582" t="s">
        <v>662</v>
      </c>
      <c r="B582" s="10">
        <v>4539</v>
      </c>
      <c r="C582" s="10">
        <v>1155</v>
      </c>
      <c r="D582" s="10">
        <v>8</v>
      </c>
      <c r="E582" s="11" t="s">
        <v>45</v>
      </c>
      <c r="F582" s="11" t="s">
        <v>109</v>
      </c>
      <c r="G582" t="s">
        <v>32</v>
      </c>
      <c r="H582" s="13">
        <v>45081</v>
      </c>
      <c r="I582" s="14" t="s">
        <v>663</v>
      </c>
      <c r="J582" t="s">
        <v>42</v>
      </c>
      <c r="K582" t="s">
        <v>92</v>
      </c>
      <c r="L582" s="12" t="s">
        <v>19</v>
      </c>
    </row>
    <row r="583" spans="1:12" x14ac:dyDescent="0.35">
      <c r="A583" t="s">
        <v>662</v>
      </c>
      <c r="B583" s="10">
        <v>9659</v>
      </c>
      <c r="C583" s="10">
        <v>2226</v>
      </c>
      <c r="D583" s="10">
        <v>16</v>
      </c>
      <c r="E583" s="11" t="s">
        <v>30</v>
      </c>
      <c r="F583" s="11" t="s">
        <v>78</v>
      </c>
      <c r="G583" t="s">
        <v>32</v>
      </c>
      <c r="H583" s="13">
        <v>45081</v>
      </c>
      <c r="I583" s="14" t="s">
        <v>663</v>
      </c>
      <c r="J583" t="s">
        <v>42</v>
      </c>
      <c r="K583" t="s">
        <v>92</v>
      </c>
      <c r="L583" s="12" t="s">
        <v>19</v>
      </c>
    </row>
    <row r="584" spans="1:12" x14ac:dyDescent="0.35">
      <c r="A584" t="s">
        <v>664</v>
      </c>
      <c r="B584" s="10">
        <v>9562</v>
      </c>
      <c r="C584" s="10">
        <v>325</v>
      </c>
      <c r="D584" s="10">
        <v>2</v>
      </c>
      <c r="E584" s="11" t="s">
        <v>13</v>
      </c>
      <c r="F584" s="11" t="s">
        <v>28</v>
      </c>
      <c r="G584" t="s">
        <v>32</v>
      </c>
      <c r="H584" s="13">
        <v>44694</v>
      </c>
      <c r="I584" s="14" t="s">
        <v>665</v>
      </c>
      <c r="J584" t="s">
        <v>42</v>
      </c>
      <c r="K584" t="s">
        <v>75</v>
      </c>
      <c r="L584" s="12" t="s">
        <v>180</v>
      </c>
    </row>
    <row r="585" spans="1:12" x14ac:dyDescent="0.35">
      <c r="A585" t="s">
        <v>666</v>
      </c>
      <c r="B585" s="10">
        <v>4688</v>
      </c>
      <c r="C585" s="10">
        <v>1841</v>
      </c>
      <c r="D585" s="10">
        <v>3</v>
      </c>
      <c r="E585" s="11" t="s">
        <v>13</v>
      </c>
      <c r="F585" s="11" t="s">
        <v>39</v>
      </c>
      <c r="G585" t="s">
        <v>47</v>
      </c>
      <c r="H585" s="13">
        <v>44949</v>
      </c>
      <c r="I585" s="14" t="s">
        <v>667</v>
      </c>
      <c r="J585" t="s">
        <v>42</v>
      </c>
      <c r="K585" t="s">
        <v>92</v>
      </c>
      <c r="L585" s="12" t="s">
        <v>333</v>
      </c>
    </row>
    <row r="586" spans="1:12" x14ac:dyDescent="0.35">
      <c r="A586" t="s">
        <v>666</v>
      </c>
      <c r="B586" s="10">
        <v>4688</v>
      </c>
      <c r="C586" s="10">
        <v>1841</v>
      </c>
      <c r="D586" s="10">
        <v>3</v>
      </c>
      <c r="E586" s="11" t="s">
        <v>13</v>
      </c>
      <c r="F586" s="11" t="s">
        <v>39</v>
      </c>
      <c r="G586" t="s">
        <v>47</v>
      </c>
      <c r="H586" s="13">
        <v>44402</v>
      </c>
      <c r="I586" s="14" t="s">
        <v>668</v>
      </c>
      <c r="J586" t="s">
        <v>42</v>
      </c>
      <c r="K586" t="s">
        <v>75</v>
      </c>
      <c r="L586" s="12" t="s">
        <v>27</v>
      </c>
    </row>
    <row r="587" spans="1:12" x14ac:dyDescent="0.35">
      <c r="A587" t="s">
        <v>669</v>
      </c>
      <c r="B587" s="10">
        <v>7900</v>
      </c>
      <c r="C587" s="10">
        <v>482</v>
      </c>
      <c r="D587" s="10">
        <v>4</v>
      </c>
      <c r="E587" s="11" t="s">
        <v>13</v>
      </c>
      <c r="F587" s="11" t="s">
        <v>82</v>
      </c>
      <c r="G587" t="s">
        <v>65</v>
      </c>
      <c r="H587" s="13">
        <v>45724</v>
      </c>
      <c r="I587" s="14" t="s">
        <v>670</v>
      </c>
      <c r="J587" t="s">
        <v>98</v>
      </c>
      <c r="K587" t="s">
        <v>99</v>
      </c>
      <c r="L587" s="12" t="s">
        <v>157</v>
      </c>
    </row>
    <row r="588" spans="1:12" x14ac:dyDescent="0.35">
      <c r="A588" t="s">
        <v>671</v>
      </c>
      <c r="B588" s="10">
        <v>6967</v>
      </c>
      <c r="C588" s="10">
        <v>3257</v>
      </c>
      <c r="D588" s="10">
        <v>17</v>
      </c>
      <c r="E588" s="11" t="s">
        <v>45</v>
      </c>
      <c r="F588" s="11" t="s">
        <v>109</v>
      </c>
      <c r="G588" t="s">
        <v>65</v>
      </c>
      <c r="H588" s="13">
        <v>44920</v>
      </c>
      <c r="I588" s="14" t="s">
        <v>672</v>
      </c>
      <c r="J588" t="s">
        <v>98</v>
      </c>
      <c r="K588" t="s">
        <v>107</v>
      </c>
      <c r="L588" s="12" t="s">
        <v>152</v>
      </c>
    </row>
    <row r="589" spans="1:12" x14ac:dyDescent="0.35">
      <c r="A589" t="s">
        <v>671</v>
      </c>
      <c r="B589" s="10">
        <v>1091</v>
      </c>
      <c r="C589" s="10">
        <v>277</v>
      </c>
      <c r="D589" s="10">
        <v>6</v>
      </c>
      <c r="E589" s="11" t="s">
        <v>30</v>
      </c>
      <c r="F589" s="11" t="s">
        <v>64</v>
      </c>
      <c r="G589" t="s">
        <v>65</v>
      </c>
      <c r="H589" s="13">
        <v>44920</v>
      </c>
      <c r="I589" s="14" t="s">
        <v>672</v>
      </c>
      <c r="J589" t="s">
        <v>98</v>
      </c>
      <c r="K589" t="s">
        <v>107</v>
      </c>
      <c r="L589" s="12" t="s">
        <v>152</v>
      </c>
    </row>
    <row r="590" spans="1:12" x14ac:dyDescent="0.35">
      <c r="A590" t="s">
        <v>671</v>
      </c>
      <c r="B590" s="10">
        <v>6027</v>
      </c>
      <c r="C590" s="10">
        <v>1530</v>
      </c>
      <c r="D590" s="10">
        <v>2</v>
      </c>
      <c r="E590" s="11" t="s">
        <v>30</v>
      </c>
      <c r="F590" s="11" t="s">
        <v>78</v>
      </c>
      <c r="G590" t="s">
        <v>47</v>
      </c>
      <c r="H590" s="13">
        <v>44920</v>
      </c>
      <c r="I590" s="14" t="s">
        <v>672</v>
      </c>
      <c r="J590" t="s">
        <v>98</v>
      </c>
      <c r="K590" t="s">
        <v>107</v>
      </c>
      <c r="L590" s="12" t="s">
        <v>152</v>
      </c>
    </row>
    <row r="591" spans="1:12" x14ac:dyDescent="0.35">
      <c r="A591" t="s">
        <v>673</v>
      </c>
      <c r="B591" s="10">
        <v>4852</v>
      </c>
      <c r="C591" s="10">
        <v>218</v>
      </c>
      <c r="D591" s="10">
        <v>2</v>
      </c>
      <c r="E591" s="11" t="s">
        <v>45</v>
      </c>
      <c r="F591" s="11" t="s">
        <v>46</v>
      </c>
      <c r="G591" t="s">
        <v>40</v>
      </c>
      <c r="H591" s="13">
        <v>45406</v>
      </c>
      <c r="I591" s="14" t="s">
        <v>674</v>
      </c>
      <c r="J591" t="s">
        <v>71</v>
      </c>
      <c r="K591" t="s">
        <v>72</v>
      </c>
      <c r="L591" s="12" t="s">
        <v>235</v>
      </c>
    </row>
    <row r="592" spans="1:12" x14ac:dyDescent="0.35">
      <c r="A592" t="s">
        <v>673</v>
      </c>
      <c r="B592" s="10">
        <v>4852</v>
      </c>
      <c r="C592" s="10">
        <v>218</v>
      </c>
      <c r="D592" s="10">
        <v>2</v>
      </c>
      <c r="E592" s="11" t="s">
        <v>45</v>
      </c>
      <c r="F592" s="11" t="s">
        <v>46</v>
      </c>
      <c r="G592" t="s">
        <v>40</v>
      </c>
      <c r="H592" s="13">
        <v>44554</v>
      </c>
      <c r="I592" s="14" t="s">
        <v>675</v>
      </c>
      <c r="J592" t="s">
        <v>17</v>
      </c>
      <c r="K592" t="s">
        <v>150</v>
      </c>
      <c r="L592" s="12" t="s">
        <v>90</v>
      </c>
    </row>
    <row r="593" spans="1:12" x14ac:dyDescent="0.35">
      <c r="A593" t="s">
        <v>673</v>
      </c>
      <c r="B593" s="10">
        <v>4852</v>
      </c>
      <c r="C593" s="10">
        <v>218</v>
      </c>
      <c r="D593" s="10">
        <v>2</v>
      </c>
      <c r="E593" s="11" t="s">
        <v>45</v>
      </c>
      <c r="F593" s="11" t="s">
        <v>46</v>
      </c>
      <c r="G593" t="s">
        <v>40</v>
      </c>
      <c r="H593" s="13">
        <v>45176</v>
      </c>
      <c r="I593" s="14" t="s">
        <v>676</v>
      </c>
      <c r="J593" t="s">
        <v>21</v>
      </c>
      <c r="K593" t="s">
        <v>63</v>
      </c>
      <c r="L593" s="12" t="s">
        <v>273</v>
      </c>
    </row>
    <row r="594" spans="1:12" x14ac:dyDescent="0.35">
      <c r="A594" t="s">
        <v>677</v>
      </c>
      <c r="B594" s="10">
        <v>4314</v>
      </c>
      <c r="C594" s="10">
        <v>1453</v>
      </c>
      <c r="D594" s="10">
        <v>6</v>
      </c>
      <c r="E594" s="11" t="s">
        <v>45</v>
      </c>
      <c r="F594" s="11" t="s">
        <v>60</v>
      </c>
      <c r="G594" t="s">
        <v>65</v>
      </c>
      <c r="H594" s="13">
        <v>44418</v>
      </c>
      <c r="I594" s="14" t="s">
        <v>678</v>
      </c>
      <c r="J594" t="s">
        <v>17</v>
      </c>
      <c r="K594" t="s">
        <v>150</v>
      </c>
      <c r="L594" s="12" t="s">
        <v>178</v>
      </c>
    </row>
    <row r="595" spans="1:12" x14ac:dyDescent="0.35">
      <c r="A595" t="s">
        <v>679</v>
      </c>
      <c r="B595" s="10">
        <v>3288</v>
      </c>
      <c r="C595" s="10">
        <v>1477</v>
      </c>
      <c r="D595" s="10">
        <v>3</v>
      </c>
      <c r="E595" s="11" t="s">
        <v>30</v>
      </c>
      <c r="F595" s="11" t="s">
        <v>31</v>
      </c>
      <c r="G595" t="s">
        <v>40</v>
      </c>
      <c r="H595" s="13">
        <v>45438</v>
      </c>
      <c r="I595" s="14" t="s">
        <v>680</v>
      </c>
      <c r="J595" t="s">
        <v>71</v>
      </c>
      <c r="K595" t="s">
        <v>86</v>
      </c>
      <c r="L595" s="12" t="s">
        <v>35</v>
      </c>
    </row>
    <row r="596" spans="1:12" x14ac:dyDescent="0.35">
      <c r="A596" t="s">
        <v>679</v>
      </c>
      <c r="B596" s="10">
        <v>3288</v>
      </c>
      <c r="C596" s="10">
        <v>1477</v>
      </c>
      <c r="D596" s="10">
        <v>3</v>
      </c>
      <c r="E596" s="11" t="s">
        <v>30</v>
      </c>
      <c r="F596" s="11" t="s">
        <v>31</v>
      </c>
      <c r="G596" t="s">
        <v>40</v>
      </c>
      <c r="H596" s="13">
        <v>44611</v>
      </c>
      <c r="I596" s="14" t="s">
        <v>681</v>
      </c>
      <c r="J596" t="s">
        <v>21</v>
      </c>
      <c r="K596" t="s">
        <v>63</v>
      </c>
      <c r="L596" s="12" t="s">
        <v>137</v>
      </c>
    </row>
    <row r="597" spans="1:12" x14ac:dyDescent="0.35">
      <c r="A597" t="s">
        <v>682</v>
      </c>
      <c r="B597" s="10">
        <v>3977</v>
      </c>
      <c r="C597" s="10">
        <v>813</v>
      </c>
      <c r="D597" s="10">
        <v>5</v>
      </c>
      <c r="E597" s="11" t="s">
        <v>30</v>
      </c>
      <c r="F597" s="11" t="s">
        <v>78</v>
      </c>
      <c r="G597" t="s">
        <v>47</v>
      </c>
      <c r="H597" s="13">
        <v>45635</v>
      </c>
      <c r="I597" s="14" t="s">
        <v>683</v>
      </c>
      <c r="J597" t="s">
        <v>25</v>
      </c>
      <c r="K597" t="s">
        <v>51</v>
      </c>
      <c r="L597" s="12" t="s">
        <v>23</v>
      </c>
    </row>
    <row r="598" spans="1:12" x14ac:dyDescent="0.35">
      <c r="A598" t="s">
        <v>684</v>
      </c>
      <c r="B598" s="10">
        <v>6252</v>
      </c>
      <c r="C598" s="10">
        <v>1377</v>
      </c>
      <c r="D598" s="10">
        <v>2</v>
      </c>
      <c r="E598" s="11" t="s">
        <v>13</v>
      </c>
      <c r="F598" s="11" t="s">
        <v>28</v>
      </c>
      <c r="G598" t="s">
        <v>40</v>
      </c>
      <c r="H598" s="13">
        <v>45078</v>
      </c>
      <c r="I598" s="14" t="s">
        <v>685</v>
      </c>
      <c r="J598" t="s">
        <v>21</v>
      </c>
      <c r="K598" t="s">
        <v>22</v>
      </c>
      <c r="L598" s="12" t="s">
        <v>19</v>
      </c>
    </row>
    <row r="599" spans="1:12" x14ac:dyDescent="0.35">
      <c r="A599" t="s">
        <v>686</v>
      </c>
      <c r="B599" s="10">
        <v>9084</v>
      </c>
      <c r="C599" s="10">
        <v>3253</v>
      </c>
      <c r="D599" s="10">
        <v>12</v>
      </c>
      <c r="E599" s="11" t="s">
        <v>30</v>
      </c>
      <c r="F599" s="11" t="s">
        <v>31</v>
      </c>
      <c r="G599" t="s">
        <v>32</v>
      </c>
      <c r="H599" s="13">
        <v>45235</v>
      </c>
      <c r="I599" s="14" t="s">
        <v>687</v>
      </c>
      <c r="J599" t="s">
        <v>25</v>
      </c>
      <c r="K599" t="s">
        <v>26</v>
      </c>
      <c r="L599" s="12" t="s">
        <v>52</v>
      </c>
    </row>
    <row r="600" spans="1:12" x14ac:dyDescent="0.35">
      <c r="A600" t="s">
        <v>688</v>
      </c>
      <c r="B600" s="10">
        <v>8994</v>
      </c>
      <c r="C600" s="10">
        <v>1481</v>
      </c>
      <c r="D600" s="10">
        <v>15</v>
      </c>
      <c r="E600" s="11" t="s">
        <v>13</v>
      </c>
      <c r="F600" s="11" t="s">
        <v>82</v>
      </c>
      <c r="G600" t="s">
        <v>47</v>
      </c>
      <c r="H600" s="13">
        <v>44003</v>
      </c>
      <c r="I600" s="14" t="s">
        <v>689</v>
      </c>
      <c r="J600" t="s">
        <v>42</v>
      </c>
      <c r="K600" t="s">
        <v>75</v>
      </c>
      <c r="L600" s="12" t="s">
        <v>313</v>
      </c>
    </row>
    <row r="601" spans="1:12" x14ac:dyDescent="0.35">
      <c r="A601" t="s">
        <v>690</v>
      </c>
      <c r="B601" s="10">
        <v>1089</v>
      </c>
      <c r="C601" s="10">
        <v>176</v>
      </c>
      <c r="D601" s="10">
        <v>16</v>
      </c>
      <c r="E601" s="11" t="s">
        <v>30</v>
      </c>
      <c r="F601" s="11" t="s">
        <v>57</v>
      </c>
      <c r="G601" t="s">
        <v>40</v>
      </c>
      <c r="H601" s="13">
        <v>44130</v>
      </c>
      <c r="I601" s="14" t="s">
        <v>691</v>
      </c>
      <c r="J601" t="s">
        <v>71</v>
      </c>
      <c r="K601" t="s">
        <v>72</v>
      </c>
      <c r="L601" s="12" t="s">
        <v>119</v>
      </c>
    </row>
    <row r="602" spans="1:12" x14ac:dyDescent="0.35">
      <c r="A602" t="s">
        <v>692</v>
      </c>
      <c r="B602" s="10">
        <v>6690</v>
      </c>
      <c r="C602" s="10">
        <v>1001</v>
      </c>
      <c r="D602" s="10">
        <v>19</v>
      </c>
      <c r="E602" s="11" t="s">
        <v>30</v>
      </c>
      <c r="F602" s="11" t="s">
        <v>78</v>
      </c>
      <c r="G602" t="s">
        <v>15</v>
      </c>
      <c r="H602" s="13">
        <v>44718</v>
      </c>
      <c r="I602" s="14" t="s">
        <v>693</v>
      </c>
      <c r="J602" t="s">
        <v>21</v>
      </c>
      <c r="K602" t="s">
        <v>63</v>
      </c>
      <c r="L602" s="12" t="s">
        <v>165</v>
      </c>
    </row>
    <row r="603" spans="1:12" x14ac:dyDescent="0.35">
      <c r="A603" t="s">
        <v>692</v>
      </c>
      <c r="B603" s="10">
        <v>6690</v>
      </c>
      <c r="C603" s="10">
        <v>1001</v>
      </c>
      <c r="D603" s="10">
        <v>19</v>
      </c>
      <c r="E603" s="11" t="s">
        <v>30</v>
      </c>
      <c r="F603" s="11" t="s">
        <v>78</v>
      </c>
      <c r="G603" t="s">
        <v>15</v>
      </c>
      <c r="H603" s="13">
        <v>44513</v>
      </c>
      <c r="I603" s="14" t="s">
        <v>694</v>
      </c>
      <c r="J603" t="s">
        <v>21</v>
      </c>
      <c r="K603" t="s">
        <v>22</v>
      </c>
      <c r="L603" s="12" t="s">
        <v>175</v>
      </c>
    </row>
    <row r="604" spans="1:12" x14ac:dyDescent="0.35">
      <c r="A604" t="s">
        <v>692</v>
      </c>
      <c r="B604" s="10">
        <v>4985</v>
      </c>
      <c r="C604" s="10">
        <v>1920</v>
      </c>
      <c r="D604" s="10">
        <v>10</v>
      </c>
      <c r="E604" s="11" t="s">
        <v>45</v>
      </c>
      <c r="F604" s="11" t="s">
        <v>109</v>
      </c>
      <c r="G604" t="s">
        <v>47</v>
      </c>
      <c r="H604" s="13">
        <v>44718</v>
      </c>
      <c r="I604" s="14" t="s">
        <v>693</v>
      </c>
      <c r="J604" t="s">
        <v>21</v>
      </c>
      <c r="K604" t="s">
        <v>63</v>
      </c>
      <c r="L604" s="12" t="s">
        <v>165</v>
      </c>
    </row>
    <row r="605" spans="1:12" x14ac:dyDescent="0.35">
      <c r="A605" t="s">
        <v>692</v>
      </c>
      <c r="B605" s="10">
        <v>4985</v>
      </c>
      <c r="C605" s="10">
        <v>1920</v>
      </c>
      <c r="D605" s="10">
        <v>10</v>
      </c>
      <c r="E605" s="11" t="s">
        <v>45</v>
      </c>
      <c r="F605" s="11" t="s">
        <v>109</v>
      </c>
      <c r="G605" t="s">
        <v>47</v>
      </c>
      <c r="H605" s="13">
        <v>44513</v>
      </c>
      <c r="I605" s="14" t="s">
        <v>694</v>
      </c>
      <c r="J605" t="s">
        <v>21</v>
      </c>
      <c r="K605" t="s">
        <v>22</v>
      </c>
      <c r="L605" s="12" t="s">
        <v>175</v>
      </c>
    </row>
    <row r="606" spans="1:12" x14ac:dyDescent="0.35">
      <c r="A606" t="s">
        <v>695</v>
      </c>
      <c r="B606" s="10">
        <v>8590</v>
      </c>
      <c r="C606" s="10">
        <v>3565</v>
      </c>
      <c r="D606" s="10">
        <v>15</v>
      </c>
      <c r="E606" s="11" t="s">
        <v>13</v>
      </c>
      <c r="F606" s="11" t="s">
        <v>14</v>
      </c>
      <c r="G606" t="s">
        <v>40</v>
      </c>
      <c r="H606" s="13">
        <v>44511</v>
      </c>
      <c r="I606" s="14" t="s">
        <v>696</v>
      </c>
      <c r="J606" t="s">
        <v>17</v>
      </c>
      <c r="K606" t="s">
        <v>18</v>
      </c>
      <c r="L606" s="12" t="s">
        <v>175</v>
      </c>
    </row>
    <row r="607" spans="1:12" x14ac:dyDescent="0.35">
      <c r="A607" t="s">
        <v>695</v>
      </c>
      <c r="B607" s="10">
        <v>6973</v>
      </c>
      <c r="C607" s="10">
        <v>3038</v>
      </c>
      <c r="D607" s="10">
        <v>10</v>
      </c>
      <c r="E607" s="11" t="s">
        <v>45</v>
      </c>
      <c r="F607" s="11" t="s">
        <v>46</v>
      </c>
      <c r="G607" t="s">
        <v>65</v>
      </c>
      <c r="H607" s="13">
        <v>44511</v>
      </c>
      <c r="I607" s="14" t="s">
        <v>696</v>
      </c>
      <c r="J607" t="s">
        <v>17</v>
      </c>
      <c r="K607" t="s">
        <v>18</v>
      </c>
      <c r="L607" s="12" t="s">
        <v>175</v>
      </c>
    </row>
    <row r="608" spans="1:12" x14ac:dyDescent="0.35">
      <c r="A608" t="s">
        <v>697</v>
      </c>
      <c r="B608" s="10">
        <v>4591</v>
      </c>
      <c r="C608" s="10">
        <v>1941</v>
      </c>
      <c r="D608" s="10">
        <v>19</v>
      </c>
      <c r="E608" s="11" t="s">
        <v>13</v>
      </c>
      <c r="F608" s="11" t="s">
        <v>28</v>
      </c>
      <c r="G608" t="s">
        <v>40</v>
      </c>
      <c r="H608" s="13">
        <v>44408</v>
      </c>
      <c r="I608" s="14" t="s">
        <v>476</v>
      </c>
      <c r="J608" t="s">
        <v>71</v>
      </c>
      <c r="K608" t="s">
        <v>72</v>
      </c>
      <c r="L608" s="12" t="s">
        <v>27</v>
      </c>
    </row>
    <row r="609" spans="1:12" x14ac:dyDescent="0.35">
      <c r="A609" t="s">
        <v>697</v>
      </c>
      <c r="B609" s="10">
        <v>9612</v>
      </c>
      <c r="C609" s="10">
        <v>2572</v>
      </c>
      <c r="D609" s="10">
        <v>17</v>
      </c>
      <c r="E609" s="11" t="s">
        <v>30</v>
      </c>
      <c r="F609" s="11" t="s">
        <v>31</v>
      </c>
      <c r="G609" t="s">
        <v>47</v>
      </c>
      <c r="H609" s="13">
        <v>44408</v>
      </c>
      <c r="I609" s="14" t="s">
        <v>476</v>
      </c>
      <c r="J609" t="s">
        <v>71</v>
      </c>
      <c r="K609" t="s">
        <v>72</v>
      </c>
      <c r="L609" s="12" t="s">
        <v>27</v>
      </c>
    </row>
    <row r="610" spans="1:12" x14ac:dyDescent="0.35">
      <c r="A610" t="s">
        <v>698</v>
      </c>
      <c r="B610" s="10">
        <v>5343</v>
      </c>
      <c r="C610" s="10">
        <v>655</v>
      </c>
      <c r="D610" s="10">
        <v>1</v>
      </c>
      <c r="E610" s="11" t="s">
        <v>45</v>
      </c>
      <c r="F610" s="11" t="s">
        <v>49</v>
      </c>
      <c r="G610" t="s">
        <v>40</v>
      </c>
      <c r="H610" s="13">
        <v>45395</v>
      </c>
      <c r="I610" s="14" t="s">
        <v>699</v>
      </c>
      <c r="J610" t="s">
        <v>42</v>
      </c>
      <c r="K610" t="s">
        <v>75</v>
      </c>
      <c r="L610" s="12" t="s">
        <v>235</v>
      </c>
    </row>
    <row r="611" spans="1:12" x14ac:dyDescent="0.35">
      <c r="A611" t="s">
        <v>700</v>
      </c>
      <c r="B611" s="10">
        <v>6956</v>
      </c>
      <c r="C611" s="10">
        <v>318</v>
      </c>
      <c r="D611" s="10">
        <v>20</v>
      </c>
      <c r="E611" s="11" t="s">
        <v>30</v>
      </c>
      <c r="F611" s="11" t="s">
        <v>57</v>
      </c>
      <c r="G611" t="s">
        <v>32</v>
      </c>
      <c r="H611" s="13">
        <v>44670</v>
      </c>
      <c r="I611" s="14" t="s">
        <v>701</v>
      </c>
      <c r="J611" t="s">
        <v>21</v>
      </c>
      <c r="K611" t="s">
        <v>63</v>
      </c>
      <c r="L611" s="12" t="s">
        <v>187</v>
      </c>
    </row>
    <row r="612" spans="1:12" x14ac:dyDescent="0.35">
      <c r="A612" t="s">
        <v>702</v>
      </c>
      <c r="B612" s="10">
        <v>5306</v>
      </c>
      <c r="C612" s="10">
        <v>2405</v>
      </c>
      <c r="D612" s="10">
        <v>17</v>
      </c>
      <c r="E612" s="11" t="s">
        <v>45</v>
      </c>
      <c r="F612" s="11" t="s">
        <v>46</v>
      </c>
      <c r="G612" t="s">
        <v>40</v>
      </c>
      <c r="H612" s="13">
        <v>45374</v>
      </c>
      <c r="I612" s="14" t="s">
        <v>703</v>
      </c>
      <c r="J612" t="s">
        <v>25</v>
      </c>
      <c r="K612" t="s">
        <v>26</v>
      </c>
      <c r="L612" s="12" t="s">
        <v>338</v>
      </c>
    </row>
    <row r="613" spans="1:12" x14ac:dyDescent="0.35">
      <c r="A613" t="s">
        <v>704</v>
      </c>
      <c r="B613" s="10">
        <v>8982</v>
      </c>
      <c r="C613" s="10">
        <v>448</v>
      </c>
      <c r="D613" s="10">
        <v>17</v>
      </c>
      <c r="E613" s="11" t="s">
        <v>45</v>
      </c>
      <c r="F613" s="11" t="s">
        <v>60</v>
      </c>
      <c r="G613" t="s">
        <v>15</v>
      </c>
      <c r="H613" s="13">
        <v>44323</v>
      </c>
      <c r="I613" s="14" t="s">
        <v>705</v>
      </c>
      <c r="J613" t="s">
        <v>25</v>
      </c>
      <c r="K613" t="s">
        <v>51</v>
      </c>
      <c r="L613" s="12" t="s">
        <v>108</v>
      </c>
    </row>
    <row r="614" spans="1:12" x14ac:dyDescent="0.35">
      <c r="A614" t="s">
        <v>704</v>
      </c>
      <c r="B614" s="10">
        <v>4826</v>
      </c>
      <c r="C614" s="10">
        <v>562</v>
      </c>
      <c r="D614" s="10">
        <v>5</v>
      </c>
      <c r="E614" s="11" t="s">
        <v>30</v>
      </c>
      <c r="F614" s="11" t="s">
        <v>64</v>
      </c>
      <c r="G614" t="s">
        <v>32</v>
      </c>
      <c r="H614" s="13">
        <v>44323</v>
      </c>
      <c r="I614" s="14" t="s">
        <v>705</v>
      </c>
      <c r="J614" t="s">
        <v>25</v>
      </c>
      <c r="K614" t="s">
        <v>51</v>
      </c>
      <c r="L614" s="12" t="s">
        <v>108</v>
      </c>
    </row>
    <row r="615" spans="1:12" x14ac:dyDescent="0.35">
      <c r="A615" t="s">
        <v>706</v>
      </c>
      <c r="B615" s="10">
        <v>972</v>
      </c>
      <c r="C615" s="10">
        <v>106</v>
      </c>
      <c r="D615" s="10">
        <v>15</v>
      </c>
      <c r="E615" s="11" t="s">
        <v>30</v>
      </c>
      <c r="F615" s="11" t="s">
        <v>31</v>
      </c>
      <c r="G615" t="s">
        <v>40</v>
      </c>
      <c r="H615" s="13">
        <v>44687</v>
      </c>
      <c r="I615" s="14" t="s">
        <v>707</v>
      </c>
      <c r="J615" t="s">
        <v>98</v>
      </c>
      <c r="K615" t="s">
        <v>107</v>
      </c>
      <c r="L615" s="12" t="s">
        <v>180</v>
      </c>
    </row>
    <row r="616" spans="1:12" x14ac:dyDescent="0.35">
      <c r="A616" t="s">
        <v>708</v>
      </c>
      <c r="B616" s="10">
        <v>3665</v>
      </c>
      <c r="C616" s="10">
        <v>802</v>
      </c>
      <c r="D616" s="10">
        <v>4</v>
      </c>
      <c r="E616" s="11" t="s">
        <v>30</v>
      </c>
      <c r="F616" s="11" t="s">
        <v>57</v>
      </c>
      <c r="G616" t="s">
        <v>47</v>
      </c>
      <c r="H616" s="13">
        <v>44417</v>
      </c>
      <c r="I616" s="14" t="s">
        <v>709</v>
      </c>
      <c r="J616" t="s">
        <v>17</v>
      </c>
      <c r="K616" t="s">
        <v>18</v>
      </c>
      <c r="L616" s="12" t="s">
        <v>178</v>
      </c>
    </row>
    <row r="617" spans="1:12" x14ac:dyDescent="0.35">
      <c r="A617" t="s">
        <v>708</v>
      </c>
      <c r="B617" s="10">
        <v>3665</v>
      </c>
      <c r="C617" s="10">
        <v>802</v>
      </c>
      <c r="D617" s="10">
        <v>4</v>
      </c>
      <c r="E617" s="11" t="s">
        <v>30</v>
      </c>
      <c r="F617" s="11" t="s">
        <v>57</v>
      </c>
      <c r="G617" t="s">
        <v>47</v>
      </c>
      <c r="H617" s="13">
        <v>45697</v>
      </c>
      <c r="I617" s="14" t="s">
        <v>710</v>
      </c>
      <c r="J617" t="s">
        <v>17</v>
      </c>
      <c r="K617" t="s">
        <v>150</v>
      </c>
      <c r="L617" s="12" t="s">
        <v>73</v>
      </c>
    </row>
    <row r="618" spans="1:12" x14ac:dyDescent="0.35">
      <c r="A618" t="s">
        <v>711</v>
      </c>
      <c r="B618" s="10">
        <v>9808</v>
      </c>
      <c r="C618" s="10">
        <v>2117</v>
      </c>
      <c r="D618" s="10">
        <v>2</v>
      </c>
      <c r="E618" s="11" t="s">
        <v>30</v>
      </c>
      <c r="F618" s="11" t="s">
        <v>31</v>
      </c>
      <c r="G618" t="s">
        <v>15</v>
      </c>
      <c r="H618" s="13">
        <v>45405</v>
      </c>
      <c r="I618" s="14" t="s">
        <v>712</v>
      </c>
      <c r="J618" t="s">
        <v>42</v>
      </c>
      <c r="K618" t="s">
        <v>43</v>
      </c>
      <c r="L618" s="12" t="s">
        <v>235</v>
      </c>
    </row>
    <row r="619" spans="1:12" x14ac:dyDescent="0.35">
      <c r="A619" t="s">
        <v>713</v>
      </c>
      <c r="B619" s="10">
        <v>1133</v>
      </c>
      <c r="C619" s="10">
        <v>73</v>
      </c>
      <c r="D619" s="10">
        <v>17</v>
      </c>
      <c r="E619" s="11" t="s">
        <v>45</v>
      </c>
      <c r="F619" s="11" t="s">
        <v>49</v>
      </c>
      <c r="G619" t="s">
        <v>15</v>
      </c>
      <c r="H619" s="13">
        <v>44980</v>
      </c>
      <c r="I619" s="14" t="s">
        <v>714</v>
      </c>
      <c r="J619" t="s">
        <v>98</v>
      </c>
      <c r="K619" t="s">
        <v>117</v>
      </c>
      <c r="L619" s="12" t="s">
        <v>93</v>
      </c>
    </row>
    <row r="620" spans="1:12" x14ac:dyDescent="0.35">
      <c r="A620" t="s">
        <v>713</v>
      </c>
      <c r="B620" s="10">
        <v>1133</v>
      </c>
      <c r="C620" s="10">
        <v>73</v>
      </c>
      <c r="D620" s="10">
        <v>17</v>
      </c>
      <c r="E620" s="11" t="s">
        <v>45</v>
      </c>
      <c r="F620" s="11" t="s">
        <v>49</v>
      </c>
      <c r="G620" t="s">
        <v>15</v>
      </c>
      <c r="H620" s="13">
        <v>45449</v>
      </c>
      <c r="I620" s="14" t="s">
        <v>715</v>
      </c>
      <c r="J620" t="s">
        <v>42</v>
      </c>
      <c r="K620" t="s">
        <v>75</v>
      </c>
      <c r="L620" s="12" t="s">
        <v>262</v>
      </c>
    </row>
    <row r="621" spans="1:12" x14ac:dyDescent="0.35">
      <c r="A621" t="s">
        <v>713</v>
      </c>
      <c r="B621" s="10">
        <v>6248</v>
      </c>
      <c r="C621" s="10">
        <v>1168</v>
      </c>
      <c r="D621" s="10">
        <v>19</v>
      </c>
      <c r="E621" s="11" t="s">
        <v>45</v>
      </c>
      <c r="F621" s="11" t="s">
        <v>109</v>
      </c>
      <c r="G621" t="s">
        <v>65</v>
      </c>
      <c r="H621" s="13">
        <v>44980</v>
      </c>
      <c r="I621" s="14" t="s">
        <v>714</v>
      </c>
      <c r="J621" t="s">
        <v>98</v>
      </c>
      <c r="K621" t="s">
        <v>117</v>
      </c>
      <c r="L621" s="12" t="s">
        <v>93</v>
      </c>
    </row>
    <row r="622" spans="1:12" x14ac:dyDescent="0.35">
      <c r="A622" t="s">
        <v>713</v>
      </c>
      <c r="B622" s="10">
        <v>6248</v>
      </c>
      <c r="C622" s="10">
        <v>1168</v>
      </c>
      <c r="D622" s="10">
        <v>19</v>
      </c>
      <c r="E622" s="11" t="s">
        <v>45</v>
      </c>
      <c r="F622" s="11" t="s">
        <v>109</v>
      </c>
      <c r="G622" t="s">
        <v>65</v>
      </c>
      <c r="H622" s="13">
        <v>45449</v>
      </c>
      <c r="I622" s="14" t="s">
        <v>715</v>
      </c>
      <c r="J622" t="s">
        <v>42</v>
      </c>
      <c r="K622" t="s">
        <v>75</v>
      </c>
      <c r="L622" s="12" t="s">
        <v>262</v>
      </c>
    </row>
    <row r="623" spans="1:12" x14ac:dyDescent="0.35">
      <c r="A623" t="s">
        <v>716</v>
      </c>
      <c r="B623" s="10">
        <v>5666</v>
      </c>
      <c r="C623" s="10">
        <v>2733</v>
      </c>
      <c r="D623" s="10">
        <v>17</v>
      </c>
      <c r="E623" s="11" t="s">
        <v>13</v>
      </c>
      <c r="F623" s="11" t="s">
        <v>14</v>
      </c>
      <c r="G623" t="s">
        <v>47</v>
      </c>
      <c r="H623" s="13">
        <v>45684</v>
      </c>
      <c r="I623" s="14" t="s">
        <v>717</v>
      </c>
      <c r="J623" t="s">
        <v>17</v>
      </c>
      <c r="K623" t="s">
        <v>150</v>
      </c>
      <c r="L623" s="12" t="s">
        <v>308</v>
      </c>
    </row>
    <row r="624" spans="1:12" x14ac:dyDescent="0.35">
      <c r="A624" t="s">
        <v>718</v>
      </c>
      <c r="B624" s="10">
        <v>4171</v>
      </c>
      <c r="C624" s="10">
        <v>1450</v>
      </c>
      <c r="D624" s="10">
        <v>18</v>
      </c>
      <c r="E624" s="11" t="s">
        <v>30</v>
      </c>
      <c r="F624" s="11" t="s">
        <v>57</v>
      </c>
      <c r="G624" t="s">
        <v>65</v>
      </c>
      <c r="H624" s="13">
        <v>45023</v>
      </c>
      <c r="I624" s="14" t="s">
        <v>719</v>
      </c>
      <c r="J624" t="s">
        <v>71</v>
      </c>
      <c r="K624" t="s">
        <v>72</v>
      </c>
      <c r="L624" s="12" t="s">
        <v>145</v>
      </c>
    </row>
    <row r="625" spans="1:12" x14ac:dyDescent="0.35">
      <c r="A625" t="s">
        <v>720</v>
      </c>
      <c r="B625" s="10">
        <v>6236</v>
      </c>
      <c r="C625" s="10">
        <v>2839</v>
      </c>
      <c r="D625" s="10">
        <v>7</v>
      </c>
      <c r="E625" s="11" t="s">
        <v>13</v>
      </c>
      <c r="F625" s="11" t="s">
        <v>28</v>
      </c>
      <c r="G625" t="s">
        <v>47</v>
      </c>
      <c r="H625" s="13">
        <v>44581</v>
      </c>
      <c r="I625" s="14" t="s">
        <v>721</v>
      </c>
      <c r="J625" t="s">
        <v>21</v>
      </c>
      <c r="K625" t="s">
        <v>63</v>
      </c>
      <c r="L625" s="12" t="s">
        <v>87</v>
      </c>
    </row>
    <row r="626" spans="1:12" x14ac:dyDescent="0.35">
      <c r="A626" t="s">
        <v>720</v>
      </c>
      <c r="B626" s="10">
        <v>6236</v>
      </c>
      <c r="C626" s="10">
        <v>2839</v>
      </c>
      <c r="D626" s="10">
        <v>7</v>
      </c>
      <c r="E626" s="11" t="s">
        <v>13</v>
      </c>
      <c r="F626" s="11" t="s">
        <v>28</v>
      </c>
      <c r="G626" t="s">
        <v>47</v>
      </c>
      <c r="H626" s="13">
        <v>44691</v>
      </c>
      <c r="I626" s="14" t="s">
        <v>722</v>
      </c>
      <c r="J626" t="s">
        <v>17</v>
      </c>
      <c r="K626" t="s">
        <v>34</v>
      </c>
      <c r="L626" s="12" t="s">
        <v>180</v>
      </c>
    </row>
    <row r="627" spans="1:12" x14ac:dyDescent="0.35">
      <c r="A627" t="s">
        <v>723</v>
      </c>
      <c r="B627" s="10">
        <v>5410</v>
      </c>
      <c r="C627" s="10">
        <v>2456</v>
      </c>
      <c r="D627" s="10">
        <v>8</v>
      </c>
      <c r="E627" s="11" t="s">
        <v>45</v>
      </c>
      <c r="F627" s="11" t="s">
        <v>49</v>
      </c>
      <c r="G627" t="s">
        <v>47</v>
      </c>
      <c r="H627" s="13">
        <v>45441</v>
      </c>
      <c r="I627" s="14" t="s">
        <v>724</v>
      </c>
      <c r="J627" t="s">
        <v>42</v>
      </c>
      <c r="K627" t="s">
        <v>43</v>
      </c>
      <c r="L627" s="12" t="s">
        <v>35</v>
      </c>
    </row>
    <row r="628" spans="1:12" x14ac:dyDescent="0.35">
      <c r="A628" t="s">
        <v>723</v>
      </c>
      <c r="B628" s="10">
        <v>5410</v>
      </c>
      <c r="C628" s="10">
        <v>2456</v>
      </c>
      <c r="D628" s="10">
        <v>8</v>
      </c>
      <c r="E628" s="11" t="s">
        <v>45</v>
      </c>
      <c r="F628" s="11" t="s">
        <v>49</v>
      </c>
      <c r="G628" t="s">
        <v>47</v>
      </c>
      <c r="H628" s="13">
        <v>44565</v>
      </c>
      <c r="I628" s="14" t="s">
        <v>725</v>
      </c>
      <c r="J628" t="s">
        <v>17</v>
      </c>
      <c r="K628" t="s">
        <v>150</v>
      </c>
      <c r="L628" s="12" t="s">
        <v>87</v>
      </c>
    </row>
    <row r="629" spans="1:12" x14ac:dyDescent="0.35">
      <c r="A629" t="s">
        <v>726</v>
      </c>
      <c r="B629" s="10">
        <v>3024</v>
      </c>
      <c r="C629" s="10">
        <v>1353</v>
      </c>
      <c r="D629" s="10">
        <v>1</v>
      </c>
      <c r="E629" s="11" t="s">
        <v>45</v>
      </c>
      <c r="F629" s="11" t="s">
        <v>60</v>
      </c>
      <c r="G629" t="s">
        <v>47</v>
      </c>
      <c r="H629" s="13">
        <v>45414</v>
      </c>
      <c r="I629" s="14" t="s">
        <v>727</v>
      </c>
      <c r="J629" t="s">
        <v>42</v>
      </c>
      <c r="K629" t="s">
        <v>43</v>
      </c>
      <c r="L629" s="12" t="s">
        <v>35</v>
      </c>
    </row>
    <row r="630" spans="1:12" x14ac:dyDescent="0.35">
      <c r="A630" t="s">
        <v>726</v>
      </c>
      <c r="B630" s="10">
        <v>3024</v>
      </c>
      <c r="C630" s="10">
        <v>1353</v>
      </c>
      <c r="D630" s="10">
        <v>1</v>
      </c>
      <c r="E630" s="11" t="s">
        <v>45</v>
      </c>
      <c r="F630" s="11" t="s">
        <v>60</v>
      </c>
      <c r="G630" t="s">
        <v>47</v>
      </c>
      <c r="H630" s="13">
        <v>44558</v>
      </c>
      <c r="I630" s="14" t="s">
        <v>728</v>
      </c>
      <c r="J630" t="s">
        <v>98</v>
      </c>
      <c r="K630" t="s">
        <v>99</v>
      </c>
      <c r="L630" s="12" t="s">
        <v>90</v>
      </c>
    </row>
    <row r="631" spans="1:12" x14ac:dyDescent="0.35">
      <c r="A631" t="s">
        <v>729</v>
      </c>
      <c r="B631" s="10">
        <v>7434</v>
      </c>
      <c r="C631" s="10">
        <v>2851</v>
      </c>
      <c r="D631" s="10">
        <v>5</v>
      </c>
      <c r="E631" s="11" t="s">
        <v>30</v>
      </c>
      <c r="F631" s="11" t="s">
        <v>57</v>
      </c>
      <c r="G631" t="s">
        <v>15</v>
      </c>
      <c r="H631" s="13">
        <v>44907</v>
      </c>
      <c r="I631" s="14" t="s">
        <v>730</v>
      </c>
      <c r="J631" t="s">
        <v>21</v>
      </c>
      <c r="K631" t="s">
        <v>63</v>
      </c>
      <c r="L631" s="12" t="s">
        <v>152</v>
      </c>
    </row>
    <row r="632" spans="1:12" x14ac:dyDescent="0.35">
      <c r="A632" t="s">
        <v>731</v>
      </c>
      <c r="B632" s="10">
        <v>7213</v>
      </c>
      <c r="C632" s="10">
        <v>508</v>
      </c>
      <c r="D632" s="10">
        <v>19</v>
      </c>
      <c r="E632" s="11" t="s">
        <v>13</v>
      </c>
      <c r="F632" s="11" t="s">
        <v>14</v>
      </c>
      <c r="G632" t="s">
        <v>32</v>
      </c>
      <c r="H632" s="13">
        <v>45155</v>
      </c>
      <c r="I632" s="14" t="s">
        <v>732</v>
      </c>
      <c r="J632" t="s">
        <v>71</v>
      </c>
      <c r="K632" t="s">
        <v>72</v>
      </c>
      <c r="L632" s="12" t="s">
        <v>121</v>
      </c>
    </row>
    <row r="633" spans="1:12" x14ac:dyDescent="0.35">
      <c r="A633" t="s">
        <v>731</v>
      </c>
      <c r="B633" s="10">
        <v>7213</v>
      </c>
      <c r="C633" s="10">
        <v>508</v>
      </c>
      <c r="D633" s="10">
        <v>19</v>
      </c>
      <c r="E633" s="11" t="s">
        <v>13</v>
      </c>
      <c r="F633" s="11" t="s">
        <v>14</v>
      </c>
      <c r="G633" t="s">
        <v>32</v>
      </c>
      <c r="H633" s="13">
        <v>44529</v>
      </c>
      <c r="I633" s="14" t="s">
        <v>733</v>
      </c>
      <c r="J633" t="s">
        <v>98</v>
      </c>
      <c r="K633" t="s">
        <v>107</v>
      </c>
      <c r="L633" s="12" t="s">
        <v>175</v>
      </c>
    </row>
    <row r="634" spans="1:12" x14ac:dyDescent="0.35">
      <c r="A634" t="s">
        <v>731</v>
      </c>
      <c r="B634" s="10">
        <v>3176</v>
      </c>
      <c r="C634" s="10">
        <v>586</v>
      </c>
      <c r="D634" s="10">
        <v>9</v>
      </c>
      <c r="E634" s="11" t="s">
        <v>45</v>
      </c>
      <c r="F634" s="11" t="s">
        <v>46</v>
      </c>
      <c r="G634" t="s">
        <v>40</v>
      </c>
      <c r="H634" s="13">
        <v>45155</v>
      </c>
      <c r="I634" s="14" t="s">
        <v>732</v>
      </c>
      <c r="J634" t="s">
        <v>71</v>
      </c>
      <c r="K634" t="s">
        <v>72</v>
      </c>
      <c r="L634" s="12" t="s">
        <v>121</v>
      </c>
    </row>
    <row r="635" spans="1:12" x14ac:dyDescent="0.35">
      <c r="A635" t="s">
        <v>731</v>
      </c>
      <c r="B635" s="10">
        <v>3176</v>
      </c>
      <c r="C635" s="10">
        <v>586</v>
      </c>
      <c r="D635" s="10">
        <v>9</v>
      </c>
      <c r="E635" s="11" t="s">
        <v>45</v>
      </c>
      <c r="F635" s="11" t="s">
        <v>46</v>
      </c>
      <c r="G635" t="s">
        <v>40</v>
      </c>
      <c r="H635" s="13">
        <v>44529</v>
      </c>
      <c r="I635" s="14" t="s">
        <v>733</v>
      </c>
      <c r="J635" t="s">
        <v>98</v>
      </c>
      <c r="K635" t="s">
        <v>107</v>
      </c>
      <c r="L635" s="12" t="s">
        <v>175</v>
      </c>
    </row>
    <row r="636" spans="1:12" x14ac:dyDescent="0.35">
      <c r="A636" t="s">
        <v>734</v>
      </c>
      <c r="B636" s="10">
        <v>9144</v>
      </c>
      <c r="C636" s="10">
        <v>2220</v>
      </c>
      <c r="D636" s="10">
        <v>18</v>
      </c>
      <c r="E636" s="11" t="s">
        <v>30</v>
      </c>
      <c r="F636" s="11" t="s">
        <v>78</v>
      </c>
      <c r="G636" t="s">
        <v>47</v>
      </c>
      <c r="H636" s="13">
        <v>44360</v>
      </c>
      <c r="I636" s="14" t="s">
        <v>735</v>
      </c>
      <c r="J636" t="s">
        <v>17</v>
      </c>
      <c r="K636" t="s">
        <v>18</v>
      </c>
      <c r="L636" s="12" t="s">
        <v>125</v>
      </c>
    </row>
    <row r="637" spans="1:12" x14ac:dyDescent="0.35">
      <c r="A637" t="s">
        <v>736</v>
      </c>
      <c r="B637" s="10">
        <v>4146</v>
      </c>
      <c r="C637" s="10">
        <v>865</v>
      </c>
      <c r="D637" s="10">
        <v>19</v>
      </c>
      <c r="E637" s="11" t="s">
        <v>45</v>
      </c>
      <c r="F637" s="11" t="s">
        <v>46</v>
      </c>
      <c r="G637" t="s">
        <v>40</v>
      </c>
      <c r="H637" s="13">
        <v>44746</v>
      </c>
      <c r="I637" s="14" t="s">
        <v>737</v>
      </c>
      <c r="J637" t="s">
        <v>71</v>
      </c>
      <c r="K637" t="s">
        <v>138</v>
      </c>
      <c r="L637" s="12" t="s">
        <v>418</v>
      </c>
    </row>
    <row r="638" spans="1:12" x14ac:dyDescent="0.35">
      <c r="A638" t="s">
        <v>736</v>
      </c>
      <c r="B638" s="10">
        <v>3793</v>
      </c>
      <c r="C638" s="10">
        <v>875</v>
      </c>
      <c r="D638" s="10">
        <v>7</v>
      </c>
      <c r="E638" s="11" t="s">
        <v>45</v>
      </c>
      <c r="F638" s="11" t="s">
        <v>46</v>
      </c>
      <c r="G638" t="s">
        <v>40</v>
      </c>
      <c r="H638" s="13">
        <v>44746</v>
      </c>
      <c r="I638" s="14" t="s">
        <v>737</v>
      </c>
      <c r="J638" t="s">
        <v>71</v>
      </c>
      <c r="K638" t="s">
        <v>138</v>
      </c>
      <c r="L638" s="12" t="s">
        <v>418</v>
      </c>
    </row>
    <row r="639" spans="1:12" x14ac:dyDescent="0.35">
      <c r="A639" t="s">
        <v>738</v>
      </c>
      <c r="B639" s="10">
        <v>7169</v>
      </c>
      <c r="C639" s="10">
        <v>2385</v>
      </c>
      <c r="D639" s="10">
        <v>11</v>
      </c>
      <c r="E639" s="11" t="s">
        <v>45</v>
      </c>
      <c r="F639" s="11" t="s">
        <v>60</v>
      </c>
      <c r="G639" t="s">
        <v>65</v>
      </c>
      <c r="H639" s="13">
        <v>44374</v>
      </c>
      <c r="I639" s="14" t="s">
        <v>739</v>
      </c>
      <c r="J639" t="s">
        <v>42</v>
      </c>
      <c r="K639" t="s">
        <v>43</v>
      </c>
      <c r="L639" s="12" t="s">
        <v>125</v>
      </c>
    </row>
    <row r="640" spans="1:12" x14ac:dyDescent="0.35">
      <c r="A640" t="s">
        <v>738</v>
      </c>
      <c r="B640" s="10">
        <v>4046</v>
      </c>
      <c r="C640" s="10">
        <v>417</v>
      </c>
      <c r="D640" s="10">
        <v>18</v>
      </c>
      <c r="E640" s="11" t="s">
        <v>45</v>
      </c>
      <c r="F640" s="11" t="s">
        <v>49</v>
      </c>
      <c r="G640" t="s">
        <v>47</v>
      </c>
      <c r="H640" s="13">
        <v>44374</v>
      </c>
      <c r="I640" s="14" t="s">
        <v>739</v>
      </c>
      <c r="J640" t="s">
        <v>42</v>
      </c>
      <c r="K640" t="s">
        <v>43</v>
      </c>
      <c r="L640" s="12" t="s">
        <v>125</v>
      </c>
    </row>
    <row r="641" spans="1:12" x14ac:dyDescent="0.35">
      <c r="A641" t="s">
        <v>740</v>
      </c>
      <c r="B641" s="10">
        <v>4164</v>
      </c>
      <c r="C641" s="10">
        <v>905</v>
      </c>
      <c r="D641" s="10">
        <v>11</v>
      </c>
      <c r="E641" s="11" t="s">
        <v>13</v>
      </c>
      <c r="F641" s="11" t="s">
        <v>82</v>
      </c>
      <c r="G641" t="s">
        <v>65</v>
      </c>
      <c r="H641" s="13">
        <v>45264</v>
      </c>
      <c r="I641" s="14" t="s">
        <v>741</v>
      </c>
      <c r="J641" t="s">
        <v>42</v>
      </c>
      <c r="K641" t="s">
        <v>75</v>
      </c>
      <c r="L641" s="12" t="s">
        <v>102</v>
      </c>
    </row>
    <row r="642" spans="1:12" x14ac:dyDescent="0.35">
      <c r="A642" t="s">
        <v>740</v>
      </c>
      <c r="B642" s="10">
        <v>5389</v>
      </c>
      <c r="C642" s="10">
        <v>2196</v>
      </c>
      <c r="D642" s="10">
        <v>5</v>
      </c>
      <c r="E642" s="11" t="s">
        <v>45</v>
      </c>
      <c r="F642" s="11" t="s">
        <v>46</v>
      </c>
      <c r="G642" t="s">
        <v>15</v>
      </c>
      <c r="H642" s="13">
        <v>45264</v>
      </c>
      <c r="I642" s="14" t="s">
        <v>741</v>
      </c>
      <c r="J642" t="s">
        <v>42</v>
      </c>
      <c r="K642" t="s">
        <v>75</v>
      </c>
      <c r="L642" s="12" t="s">
        <v>102</v>
      </c>
    </row>
    <row r="643" spans="1:12" x14ac:dyDescent="0.35">
      <c r="A643" t="s">
        <v>742</v>
      </c>
      <c r="B643" s="10">
        <v>5448</v>
      </c>
      <c r="C643" s="10">
        <v>2204</v>
      </c>
      <c r="D643" s="10">
        <v>5</v>
      </c>
      <c r="E643" s="11" t="s">
        <v>45</v>
      </c>
      <c r="F643" s="11" t="s">
        <v>60</v>
      </c>
      <c r="G643" t="s">
        <v>65</v>
      </c>
      <c r="H643" s="13">
        <v>44782</v>
      </c>
      <c r="I643" s="14" t="s">
        <v>743</v>
      </c>
      <c r="J643" t="s">
        <v>25</v>
      </c>
      <c r="K643" t="s">
        <v>51</v>
      </c>
      <c r="L643" s="12" t="s">
        <v>209</v>
      </c>
    </row>
    <row r="644" spans="1:12" x14ac:dyDescent="0.35">
      <c r="A644" t="s">
        <v>744</v>
      </c>
      <c r="B644" s="10">
        <v>4115</v>
      </c>
      <c r="C644" s="10">
        <v>1285</v>
      </c>
      <c r="D644" s="10">
        <v>1</v>
      </c>
      <c r="E644" s="11" t="s">
        <v>45</v>
      </c>
      <c r="F644" s="11" t="s">
        <v>60</v>
      </c>
      <c r="G644" t="s">
        <v>15</v>
      </c>
      <c r="H644" s="13">
        <v>43929</v>
      </c>
      <c r="I644" s="14" t="s">
        <v>745</v>
      </c>
      <c r="J644" t="s">
        <v>17</v>
      </c>
      <c r="K644" t="s">
        <v>34</v>
      </c>
      <c r="L644" s="12" t="s">
        <v>162</v>
      </c>
    </row>
    <row r="645" spans="1:12" x14ac:dyDescent="0.35">
      <c r="A645" t="s">
        <v>744</v>
      </c>
      <c r="B645" s="10">
        <v>4761</v>
      </c>
      <c r="C645" s="10">
        <v>2231</v>
      </c>
      <c r="D645" s="10">
        <v>12</v>
      </c>
      <c r="E645" s="11" t="s">
        <v>45</v>
      </c>
      <c r="F645" s="11" t="s">
        <v>46</v>
      </c>
      <c r="G645" t="s">
        <v>15</v>
      </c>
      <c r="H645" s="13">
        <v>43929</v>
      </c>
      <c r="I645" s="14" t="s">
        <v>745</v>
      </c>
      <c r="J645" t="s">
        <v>17</v>
      </c>
      <c r="K645" t="s">
        <v>34</v>
      </c>
      <c r="L645" s="12" t="s">
        <v>162</v>
      </c>
    </row>
    <row r="646" spans="1:12" x14ac:dyDescent="0.35">
      <c r="A646" t="s">
        <v>746</v>
      </c>
      <c r="B646" s="10">
        <v>5899</v>
      </c>
      <c r="C646" s="10">
        <v>2264</v>
      </c>
      <c r="D646" s="10">
        <v>6</v>
      </c>
      <c r="E646" s="11" t="s">
        <v>30</v>
      </c>
      <c r="F646" s="11" t="s">
        <v>78</v>
      </c>
      <c r="G646" t="s">
        <v>40</v>
      </c>
      <c r="H646" s="13">
        <v>45219</v>
      </c>
      <c r="I646" s="14" t="s">
        <v>747</v>
      </c>
      <c r="J646" t="s">
        <v>25</v>
      </c>
      <c r="K646" t="s">
        <v>26</v>
      </c>
      <c r="L646" s="12" t="s">
        <v>442</v>
      </c>
    </row>
    <row r="647" spans="1:12" x14ac:dyDescent="0.35">
      <c r="A647" t="s">
        <v>748</v>
      </c>
      <c r="B647" s="10">
        <v>6109</v>
      </c>
      <c r="C647" s="10">
        <v>3040</v>
      </c>
      <c r="D647" s="10">
        <v>9</v>
      </c>
      <c r="E647" s="11" t="s">
        <v>45</v>
      </c>
      <c r="F647" s="11" t="s">
        <v>49</v>
      </c>
      <c r="G647" t="s">
        <v>40</v>
      </c>
      <c r="H647" s="13">
        <v>44602</v>
      </c>
      <c r="I647" s="14" t="s">
        <v>749</v>
      </c>
      <c r="J647" t="s">
        <v>25</v>
      </c>
      <c r="K647" t="s">
        <v>26</v>
      </c>
      <c r="L647" s="12" t="s">
        <v>137</v>
      </c>
    </row>
    <row r="648" spans="1:12" x14ac:dyDescent="0.35">
      <c r="A648" t="s">
        <v>748</v>
      </c>
      <c r="B648" s="10">
        <v>6109</v>
      </c>
      <c r="C648" s="10">
        <v>3040</v>
      </c>
      <c r="D648" s="10">
        <v>9</v>
      </c>
      <c r="E648" s="11" t="s">
        <v>45</v>
      </c>
      <c r="F648" s="11" t="s">
        <v>49</v>
      </c>
      <c r="G648" t="s">
        <v>40</v>
      </c>
      <c r="H648" s="13">
        <v>45204</v>
      </c>
      <c r="I648" s="14" t="s">
        <v>750</v>
      </c>
      <c r="J648" t="s">
        <v>25</v>
      </c>
      <c r="K648" t="s">
        <v>68</v>
      </c>
      <c r="L648" s="12" t="s">
        <v>442</v>
      </c>
    </row>
    <row r="649" spans="1:12" x14ac:dyDescent="0.35">
      <c r="A649" t="s">
        <v>748</v>
      </c>
      <c r="B649" s="10">
        <v>4628</v>
      </c>
      <c r="C649" s="10">
        <v>1491</v>
      </c>
      <c r="D649" s="10">
        <v>17</v>
      </c>
      <c r="E649" s="11" t="s">
        <v>13</v>
      </c>
      <c r="F649" s="11" t="s">
        <v>14</v>
      </c>
      <c r="G649" t="s">
        <v>15</v>
      </c>
      <c r="H649" s="13">
        <v>44602</v>
      </c>
      <c r="I649" s="14" t="s">
        <v>749</v>
      </c>
      <c r="J649" t="s">
        <v>25</v>
      </c>
      <c r="K649" t="s">
        <v>26</v>
      </c>
      <c r="L649" s="12" t="s">
        <v>137</v>
      </c>
    </row>
    <row r="650" spans="1:12" x14ac:dyDescent="0.35">
      <c r="A650" t="s">
        <v>748</v>
      </c>
      <c r="B650" s="10">
        <v>4628</v>
      </c>
      <c r="C650" s="10">
        <v>1491</v>
      </c>
      <c r="D650" s="10">
        <v>17</v>
      </c>
      <c r="E650" s="11" t="s">
        <v>13</v>
      </c>
      <c r="F650" s="11" t="s">
        <v>14</v>
      </c>
      <c r="G650" t="s">
        <v>15</v>
      </c>
      <c r="H650" s="13">
        <v>45204</v>
      </c>
      <c r="I650" s="14" t="s">
        <v>750</v>
      </c>
      <c r="J650" t="s">
        <v>25</v>
      </c>
      <c r="K650" t="s">
        <v>68</v>
      </c>
      <c r="L650" s="12" t="s">
        <v>442</v>
      </c>
    </row>
    <row r="651" spans="1:12" x14ac:dyDescent="0.35">
      <c r="A651" t="s">
        <v>751</v>
      </c>
      <c r="B651" s="10">
        <v>4369</v>
      </c>
      <c r="C651" s="10">
        <v>584</v>
      </c>
      <c r="D651" s="10">
        <v>13</v>
      </c>
      <c r="E651" s="11" t="s">
        <v>30</v>
      </c>
      <c r="F651" s="11" t="s">
        <v>31</v>
      </c>
      <c r="G651" t="s">
        <v>47</v>
      </c>
      <c r="H651" s="13">
        <v>44826</v>
      </c>
      <c r="I651" s="14" t="s">
        <v>752</v>
      </c>
      <c r="J651" t="s">
        <v>21</v>
      </c>
      <c r="K651" t="s">
        <v>172</v>
      </c>
      <c r="L651" s="12" t="s">
        <v>131</v>
      </c>
    </row>
    <row r="652" spans="1:12" x14ac:dyDescent="0.35">
      <c r="A652" t="s">
        <v>751</v>
      </c>
      <c r="B652" s="10">
        <v>4369</v>
      </c>
      <c r="C652" s="10">
        <v>584</v>
      </c>
      <c r="D652" s="10">
        <v>13</v>
      </c>
      <c r="E652" s="11" t="s">
        <v>30</v>
      </c>
      <c r="F652" s="11" t="s">
        <v>31</v>
      </c>
      <c r="G652" t="s">
        <v>47</v>
      </c>
      <c r="H652" s="13">
        <v>44289</v>
      </c>
      <c r="I652" s="14" t="s">
        <v>753</v>
      </c>
      <c r="J652" t="s">
        <v>71</v>
      </c>
      <c r="K652" t="s">
        <v>86</v>
      </c>
      <c r="L652" s="12" t="s">
        <v>139</v>
      </c>
    </row>
    <row r="653" spans="1:12" x14ac:dyDescent="0.35">
      <c r="A653" t="s">
        <v>754</v>
      </c>
      <c r="B653" s="10">
        <v>5632</v>
      </c>
      <c r="C653" s="10">
        <v>2358</v>
      </c>
      <c r="D653" s="10">
        <v>20</v>
      </c>
      <c r="E653" s="11" t="s">
        <v>45</v>
      </c>
      <c r="F653" s="11" t="s">
        <v>60</v>
      </c>
      <c r="G653" t="s">
        <v>47</v>
      </c>
      <c r="H653" s="13">
        <v>44319</v>
      </c>
      <c r="I653" s="14" t="s">
        <v>755</v>
      </c>
      <c r="J653" t="s">
        <v>42</v>
      </c>
      <c r="K653" t="s">
        <v>43</v>
      </c>
      <c r="L653" s="12" t="s">
        <v>108</v>
      </c>
    </row>
    <row r="654" spans="1:12" x14ac:dyDescent="0.35">
      <c r="A654" t="s">
        <v>754</v>
      </c>
      <c r="B654" s="10">
        <v>5632</v>
      </c>
      <c r="C654" s="10">
        <v>2358</v>
      </c>
      <c r="D654" s="10">
        <v>20</v>
      </c>
      <c r="E654" s="11" t="s">
        <v>45</v>
      </c>
      <c r="F654" s="11" t="s">
        <v>60</v>
      </c>
      <c r="G654" t="s">
        <v>47</v>
      </c>
      <c r="H654" s="13">
        <v>45333</v>
      </c>
      <c r="I654" s="14" t="s">
        <v>756</v>
      </c>
      <c r="J654" t="s">
        <v>17</v>
      </c>
      <c r="K654" t="s">
        <v>18</v>
      </c>
      <c r="L654" s="12" t="s">
        <v>218</v>
      </c>
    </row>
    <row r="655" spans="1:12" x14ac:dyDescent="0.35">
      <c r="A655" t="s">
        <v>754</v>
      </c>
      <c r="B655" s="10">
        <v>5632</v>
      </c>
      <c r="C655" s="10">
        <v>2358</v>
      </c>
      <c r="D655" s="10">
        <v>20</v>
      </c>
      <c r="E655" s="11" t="s">
        <v>45</v>
      </c>
      <c r="F655" s="11" t="s">
        <v>60</v>
      </c>
      <c r="G655" t="s">
        <v>47</v>
      </c>
      <c r="H655" s="13">
        <v>45692</v>
      </c>
      <c r="I655" s="14" t="s">
        <v>757</v>
      </c>
      <c r="J655" t="s">
        <v>98</v>
      </c>
      <c r="K655" t="s">
        <v>117</v>
      </c>
      <c r="L655" s="12" t="s">
        <v>73</v>
      </c>
    </row>
    <row r="656" spans="1:12" x14ac:dyDescent="0.35">
      <c r="A656" t="s">
        <v>758</v>
      </c>
      <c r="B656" s="10">
        <v>7519</v>
      </c>
      <c r="C656" s="10">
        <v>402</v>
      </c>
      <c r="D656" s="10">
        <v>14</v>
      </c>
      <c r="E656" s="11" t="s">
        <v>30</v>
      </c>
      <c r="F656" s="11" t="s">
        <v>64</v>
      </c>
      <c r="G656" t="s">
        <v>15</v>
      </c>
      <c r="H656" s="13">
        <v>44846</v>
      </c>
      <c r="I656" s="14" t="s">
        <v>759</v>
      </c>
      <c r="J656" t="s">
        <v>42</v>
      </c>
      <c r="K656" t="s">
        <v>75</v>
      </c>
      <c r="L656" s="12" t="s">
        <v>96</v>
      </c>
    </row>
    <row r="657" spans="1:12" x14ac:dyDescent="0.35">
      <c r="A657" t="s">
        <v>758</v>
      </c>
      <c r="B657" s="10">
        <v>1564</v>
      </c>
      <c r="C657" s="10">
        <v>674</v>
      </c>
      <c r="D657" s="10">
        <v>13</v>
      </c>
      <c r="E657" s="11" t="s">
        <v>13</v>
      </c>
      <c r="F657" s="11" t="s">
        <v>14</v>
      </c>
      <c r="G657" t="s">
        <v>32</v>
      </c>
      <c r="H657" s="13">
        <v>44846</v>
      </c>
      <c r="I657" s="14" t="s">
        <v>759</v>
      </c>
      <c r="J657" t="s">
        <v>42</v>
      </c>
      <c r="K657" t="s">
        <v>75</v>
      </c>
      <c r="L657" s="12" t="s">
        <v>96</v>
      </c>
    </row>
    <row r="658" spans="1:12" x14ac:dyDescent="0.35">
      <c r="A658" t="s">
        <v>760</v>
      </c>
      <c r="B658" s="10">
        <v>2804</v>
      </c>
      <c r="C658" s="10">
        <v>936</v>
      </c>
      <c r="D658" s="10">
        <v>10</v>
      </c>
      <c r="E658" s="11" t="s">
        <v>13</v>
      </c>
      <c r="F658" s="11" t="s">
        <v>14</v>
      </c>
      <c r="G658" t="s">
        <v>47</v>
      </c>
      <c r="H658" s="13">
        <v>44598</v>
      </c>
      <c r="I658" s="14" t="s">
        <v>761</v>
      </c>
      <c r="J658" t="s">
        <v>71</v>
      </c>
      <c r="K658" t="s">
        <v>86</v>
      </c>
      <c r="L658" s="12" t="s">
        <v>137</v>
      </c>
    </row>
    <row r="659" spans="1:12" x14ac:dyDescent="0.35">
      <c r="A659" t="s">
        <v>760</v>
      </c>
      <c r="B659" s="10">
        <v>2804</v>
      </c>
      <c r="C659" s="10">
        <v>936</v>
      </c>
      <c r="D659" s="10">
        <v>10</v>
      </c>
      <c r="E659" s="11" t="s">
        <v>13</v>
      </c>
      <c r="F659" s="11" t="s">
        <v>14</v>
      </c>
      <c r="G659" t="s">
        <v>47</v>
      </c>
      <c r="H659" s="13">
        <v>44144</v>
      </c>
      <c r="I659" s="14" t="s">
        <v>762</v>
      </c>
      <c r="J659" t="s">
        <v>17</v>
      </c>
      <c r="K659" t="s">
        <v>150</v>
      </c>
      <c r="L659" s="12" t="s">
        <v>80</v>
      </c>
    </row>
    <row r="660" spans="1:12" x14ac:dyDescent="0.35">
      <c r="A660" t="s">
        <v>760</v>
      </c>
      <c r="B660" s="10">
        <v>2804</v>
      </c>
      <c r="C660" s="10">
        <v>936</v>
      </c>
      <c r="D660" s="10">
        <v>10</v>
      </c>
      <c r="E660" s="11" t="s">
        <v>13</v>
      </c>
      <c r="F660" s="11" t="s">
        <v>14</v>
      </c>
      <c r="G660" t="s">
        <v>47</v>
      </c>
      <c r="H660" s="13">
        <v>45049</v>
      </c>
      <c r="I660" s="14" t="s">
        <v>763</v>
      </c>
      <c r="J660" t="s">
        <v>17</v>
      </c>
      <c r="K660" t="s">
        <v>150</v>
      </c>
      <c r="L660" s="12" t="s">
        <v>127</v>
      </c>
    </row>
    <row r="661" spans="1:12" x14ac:dyDescent="0.35">
      <c r="A661" t="s">
        <v>764</v>
      </c>
      <c r="B661" s="10">
        <v>2321</v>
      </c>
      <c r="C661" s="10">
        <v>505</v>
      </c>
      <c r="D661" s="10">
        <v>6</v>
      </c>
      <c r="E661" s="11" t="s">
        <v>45</v>
      </c>
      <c r="F661" s="11" t="s">
        <v>49</v>
      </c>
      <c r="G661" t="s">
        <v>40</v>
      </c>
      <c r="H661" s="13">
        <v>44838</v>
      </c>
      <c r="I661" s="14" t="s">
        <v>765</v>
      </c>
      <c r="J661" t="s">
        <v>21</v>
      </c>
      <c r="K661" t="s">
        <v>63</v>
      </c>
      <c r="L661" s="12" t="s">
        <v>96</v>
      </c>
    </row>
    <row r="662" spans="1:12" x14ac:dyDescent="0.35">
      <c r="A662" t="s">
        <v>766</v>
      </c>
      <c r="B662" s="10">
        <v>5730</v>
      </c>
      <c r="C662" s="10">
        <v>482</v>
      </c>
      <c r="D662" s="10">
        <v>6</v>
      </c>
      <c r="E662" s="11" t="s">
        <v>13</v>
      </c>
      <c r="F662" s="11" t="s">
        <v>39</v>
      </c>
      <c r="G662" t="s">
        <v>65</v>
      </c>
      <c r="H662" s="13">
        <v>45525</v>
      </c>
      <c r="I662" s="14" t="s">
        <v>767</v>
      </c>
      <c r="J662" t="s">
        <v>17</v>
      </c>
      <c r="K662" t="s">
        <v>150</v>
      </c>
      <c r="L662" s="12" t="s">
        <v>114</v>
      </c>
    </row>
    <row r="663" spans="1:12" x14ac:dyDescent="0.35">
      <c r="A663" t="s">
        <v>768</v>
      </c>
      <c r="B663" s="10">
        <v>7441</v>
      </c>
      <c r="C663" s="10">
        <v>867</v>
      </c>
      <c r="D663" s="10">
        <v>12</v>
      </c>
      <c r="E663" s="11" t="s">
        <v>45</v>
      </c>
      <c r="F663" s="11" t="s">
        <v>60</v>
      </c>
      <c r="G663" t="s">
        <v>65</v>
      </c>
      <c r="H663" s="13">
        <v>44520</v>
      </c>
      <c r="I663" s="14" t="s">
        <v>769</v>
      </c>
      <c r="J663" t="s">
        <v>21</v>
      </c>
      <c r="K663" t="s">
        <v>22</v>
      </c>
      <c r="L663" s="12" t="s">
        <v>175</v>
      </c>
    </row>
    <row r="664" spans="1:12" x14ac:dyDescent="0.35">
      <c r="A664" t="s">
        <v>768</v>
      </c>
      <c r="B664" s="10">
        <v>7441</v>
      </c>
      <c r="C664" s="10">
        <v>867</v>
      </c>
      <c r="D664" s="10">
        <v>12</v>
      </c>
      <c r="E664" s="11" t="s">
        <v>45</v>
      </c>
      <c r="F664" s="11" t="s">
        <v>60</v>
      </c>
      <c r="G664" t="s">
        <v>65</v>
      </c>
      <c r="H664" s="13">
        <v>43964</v>
      </c>
      <c r="I664" s="14" t="s">
        <v>770</v>
      </c>
      <c r="J664" t="s">
        <v>71</v>
      </c>
      <c r="K664" t="s">
        <v>86</v>
      </c>
      <c r="L664" s="12" t="s">
        <v>59</v>
      </c>
    </row>
    <row r="665" spans="1:12" x14ac:dyDescent="0.35">
      <c r="A665" t="s">
        <v>771</v>
      </c>
      <c r="B665" s="10">
        <v>1732</v>
      </c>
      <c r="C665" s="10">
        <v>766</v>
      </c>
      <c r="D665" s="10">
        <v>7</v>
      </c>
      <c r="E665" s="11" t="s">
        <v>30</v>
      </c>
      <c r="F665" s="11" t="s">
        <v>78</v>
      </c>
      <c r="G665" t="s">
        <v>15</v>
      </c>
      <c r="H665" s="13">
        <v>44985</v>
      </c>
      <c r="I665" s="14" t="s">
        <v>772</v>
      </c>
      <c r="J665" t="s">
        <v>25</v>
      </c>
      <c r="K665" t="s">
        <v>51</v>
      </c>
      <c r="L665" s="12" t="s">
        <v>93</v>
      </c>
    </row>
    <row r="666" spans="1:12" x14ac:dyDescent="0.35">
      <c r="A666" t="s">
        <v>771</v>
      </c>
      <c r="B666" s="10">
        <v>8788</v>
      </c>
      <c r="C666" s="10">
        <v>3944</v>
      </c>
      <c r="D666" s="10">
        <v>19</v>
      </c>
      <c r="E666" s="11" t="s">
        <v>30</v>
      </c>
      <c r="F666" s="11" t="s">
        <v>64</v>
      </c>
      <c r="G666" t="s">
        <v>40</v>
      </c>
      <c r="H666" s="13">
        <v>44985</v>
      </c>
      <c r="I666" s="14" t="s">
        <v>772</v>
      </c>
      <c r="J666" t="s">
        <v>25</v>
      </c>
      <c r="K666" t="s">
        <v>51</v>
      </c>
      <c r="L666" s="12" t="s">
        <v>93</v>
      </c>
    </row>
    <row r="667" spans="1:12" x14ac:dyDescent="0.35">
      <c r="A667" t="s">
        <v>773</v>
      </c>
      <c r="B667" s="10">
        <v>838</v>
      </c>
      <c r="C667" s="10">
        <v>271</v>
      </c>
      <c r="D667" s="10">
        <v>11</v>
      </c>
      <c r="E667" s="11" t="s">
        <v>30</v>
      </c>
      <c r="F667" s="11" t="s">
        <v>57</v>
      </c>
      <c r="G667" t="s">
        <v>40</v>
      </c>
      <c r="H667" s="13">
        <v>44217</v>
      </c>
      <c r="I667" s="14" t="s">
        <v>774</v>
      </c>
      <c r="J667" t="s">
        <v>98</v>
      </c>
      <c r="K667" t="s">
        <v>99</v>
      </c>
      <c r="L667" s="12" t="s">
        <v>276</v>
      </c>
    </row>
    <row r="668" spans="1:12" x14ac:dyDescent="0.35">
      <c r="A668" t="s">
        <v>773</v>
      </c>
      <c r="B668" s="10">
        <v>838</v>
      </c>
      <c r="C668" s="10">
        <v>271</v>
      </c>
      <c r="D668" s="10">
        <v>11</v>
      </c>
      <c r="E668" s="11" t="s">
        <v>30</v>
      </c>
      <c r="F668" s="11" t="s">
        <v>57</v>
      </c>
      <c r="G668" t="s">
        <v>40</v>
      </c>
      <c r="H668" s="13">
        <v>44620</v>
      </c>
      <c r="I668" s="14" t="s">
        <v>775</v>
      </c>
      <c r="J668" t="s">
        <v>21</v>
      </c>
      <c r="K668" t="s">
        <v>172</v>
      </c>
      <c r="L668" s="12" t="s">
        <v>137</v>
      </c>
    </row>
    <row r="669" spans="1:12" x14ac:dyDescent="0.35">
      <c r="A669" t="s">
        <v>773</v>
      </c>
      <c r="B669" s="10">
        <v>3577</v>
      </c>
      <c r="C669" s="10">
        <v>699</v>
      </c>
      <c r="D669" s="10">
        <v>2</v>
      </c>
      <c r="E669" s="11" t="s">
        <v>45</v>
      </c>
      <c r="F669" s="11" t="s">
        <v>46</v>
      </c>
      <c r="G669" t="s">
        <v>15</v>
      </c>
      <c r="H669" s="13">
        <v>44217</v>
      </c>
      <c r="I669" s="14" t="s">
        <v>774</v>
      </c>
      <c r="J669" t="s">
        <v>98</v>
      </c>
      <c r="K669" t="s">
        <v>99</v>
      </c>
      <c r="L669" s="12" t="s">
        <v>276</v>
      </c>
    </row>
    <row r="670" spans="1:12" x14ac:dyDescent="0.35">
      <c r="A670" t="s">
        <v>773</v>
      </c>
      <c r="B670" s="10">
        <v>3577</v>
      </c>
      <c r="C670" s="10">
        <v>699</v>
      </c>
      <c r="D670" s="10">
        <v>2</v>
      </c>
      <c r="E670" s="11" t="s">
        <v>45</v>
      </c>
      <c r="F670" s="11" t="s">
        <v>46</v>
      </c>
      <c r="G670" t="s">
        <v>15</v>
      </c>
      <c r="H670" s="13">
        <v>44620</v>
      </c>
      <c r="I670" s="14" t="s">
        <v>775</v>
      </c>
      <c r="J670" t="s">
        <v>21</v>
      </c>
      <c r="K670" t="s">
        <v>172</v>
      </c>
      <c r="L670" s="12" t="s">
        <v>137</v>
      </c>
    </row>
    <row r="671" spans="1:12" x14ac:dyDescent="0.35">
      <c r="A671" t="s">
        <v>776</v>
      </c>
      <c r="B671" s="10">
        <v>7122</v>
      </c>
      <c r="C671" s="10">
        <v>1836</v>
      </c>
      <c r="D671" s="10">
        <v>6</v>
      </c>
      <c r="E671" s="11" t="s">
        <v>13</v>
      </c>
      <c r="F671" s="11" t="s">
        <v>82</v>
      </c>
      <c r="G671" t="s">
        <v>32</v>
      </c>
      <c r="H671" s="13">
        <v>45407</v>
      </c>
      <c r="I671" s="14" t="s">
        <v>777</v>
      </c>
      <c r="J671" t="s">
        <v>71</v>
      </c>
      <c r="K671" t="s">
        <v>72</v>
      </c>
      <c r="L671" s="12" t="s">
        <v>235</v>
      </c>
    </row>
    <row r="672" spans="1:12" x14ac:dyDescent="0.35">
      <c r="A672" t="s">
        <v>776</v>
      </c>
      <c r="B672" s="10">
        <v>7122</v>
      </c>
      <c r="C672" s="10">
        <v>1836</v>
      </c>
      <c r="D672" s="10">
        <v>6</v>
      </c>
      <c r="E672" s="11" t="s">
        <v>13</v>
      </c>
      <c r="F672" s="11" t="s">
        <v>82</v>
      </c>
      <c r="G672" t="s">
        <v>32</v>
      </c>
      <c r="H672" s="13">
        <v>44995</v>
      </c>
      <c r="I672" s="14" t="s">
        <v>778</v>
      </c>
      <c r="J672" t="s">
        <v>71</v>
      </c>
      <c r="K672" t="s">
        <v>138</v>
      </c>
      <c r="L672" s="12" t="s">
        <v>245</v>
      </c>
    </row>
    <row r="673" spans="1:12" x14ac:dyDescent="0.35">
      <c r="A673" t="s">
        <v>776</v>
      </c>
      <c r="B673" s="10">
        <v>7122</v>
      </c>
      <c r="C673" s="10">
        <v>1836</v>
      </c>
      <c r="D673" s="10">
        <v>6</v>
      </c>
      <c r="E673" s="11" t="s">
        <v>13</v>
      </c>
      <c r="F673" s="11" t="s">
        <v>82</v>
      </c>
      <c r="G673" t="s">
        <v>32</v>
      </c>
      <c r="H673" s="13">
        <v>45117</v>
      </c>
      <c r="I673" s="14" t="s">
        <v>779</v>
      </c>
      <c r="J673" t="s">
        <v>25</v>
      </c>
      <c r="K673" t="s">
        <v>51</v>
      </c>
      <c r="L673" s="12" t="s">
        <v>105</v>
      </c>
    </row>
    <row r="674" spans="1:12" x14ac:dyDescent="0.35">
      <c r="A674" t="s">
        <v>776</v>
      </c>
      <c r="B674" s="10">
        <v>7327</v>
      </c>
      <c r="C674" s="10">
        <v>2596</v>
      </c>
      <c r="D674" s="10">
        <v>15</v>
      </c>
      <c r="E674" s="11" t="s">
        <v>30</v>
      </c>
      <c r="F674" s="11" t="s">
        <v>57</v>
      </c>
      <c r="G674" t="s">
        <v>47</v>
      </c>
      <c r="H674" s="13">
        <v>45407</v>
      </c>
      <c r="I674" s="14" t="s">
        <v>777</v>
      </c>
      <c r="J674" t="s">
        <v>71</v>
      </c>
      <c r="K674" t="s">
        <v>72</v>
      </c>
      <c r="L674" s="12" t="s">
        <v>235</v>
      </c>
    </row>
    <row r="675" spans="1:12" x14ac:dyDescent="0.35">
      <c r="A675" t="s">
        <v>776</v>
      </c>
      <c r="B675" s="10">
        <v>7327</v>
      </c>
      <c r="C675" s="10">
        <v>2596</v>
      </c>
      <c r="D675" s="10">
        <v>15</v>
      </c>
      <c r="E675" s="11" t="s">
        <v>30</v>
      </c>
      <c r="F675" s="11" t="s">
        <v>57</v>
      </c>
      <c r="G675" t="s">
        <v>47</v>
      </c>
      <c r="H675" s="13">
        <v>44995</v>
      </c>
      <c r="I675" s="14" t="s">
        <v>778</v>
      </c>
      <c r="J675" t="s">
        <v>71</v>
      </c>
      <c r="K675" t="s">
        <v>138</v>
      </c>
      <c r="L675" s="12" t="s">
        <v>245</v>
      </c>
    </row>
    <row r="676" spans="1:12" x14ac:dyDescent="0.35">
      <c r="A676" t="s">
        <v>776</v>
      </c>
      <c r="B676" s="10">
        <v>7327</v>
      </c>
      <c r="C676" s="10">
        <v>2596</v>
      </c>
      <c r="D676" s="10">
        <v>15</v>
      </c>
      <c r="E676" s="11" t="s">
        <v>30</v>
      </c>
      <c r="F676" s="11" t="s">
        <v>57</v>
      </c>
      <c r="G676" t="s">
        <v>47</v>
      </c>
      <c r="H676" s="13">
        <v>45117</v>
      </c>
      <c r="I676" s="14" t="s">
        <v>779</v>
      </c>
      <c r="J676" t="s">
        <v>25</v>
      </c>
      <c r="K676" t="s">
        <v>51</v>
      </c>
      <c r="L676" s="12" t="s">
        <v>105</v>
      </c>
    </row>
    <row r="677" spans="1:12" x14ac:dyDescent="0.35">
      <c r="A677" t="s">
        <v>780</v>
      </c>
      <c r="B677" s="10">
        <v>2239</v>
      </c>
      <c r="C677" s="10">
        <v>1094</v>
      </c>
      <c r="D677" s="10">
        <v>18</v>
      </c>
      <c r="E677" s="11" t="s">
        <v>13</v>
      </c>
      <c r="F677" s="11" t="s">
        <v>28</v>
      </c>
      <c r="G677" t="s">
        <v>65</v>
      </c>
      <c r="H677" s="13">
        <v>45501</v>
      </c>
      <c r="I677" s="14" t="s">
        <v>781</v>
      </c>
      <c r="J677" t="s">
        <v>17</v>
      </c>
      <c r="K677" t="s">
        <v>150</v>
      </c>
      <c r="L677" s="12" t="s">
        <v>215</v>
      </c>
    </row>
    <row r="678" spans="1:12" x14ac:dyDescent="0.35">
      <c r="A678" t="s">
        <v>780</v>
      </c>
      <c r="B678" s="10">
        <v>4932</v>
      </c>
      <c r="C678" s="10">
        <v>1153</v>
      </c>
      <c r="D678" s="10">
        <v>1</v>
      </c>
      <c r="E678" s="11" t="s">
        <v>30</v>
      </c>
      <c r="F678" s="11" t="s">
        <v>57</v>
      </c>
      <c r="G678" t="s">
        <v>65</v>
      </c>
      <c r="H678" s="13">
        <v>45501</v>
      </c>
      <c r="I678" s="14" t="s">
        <v>781</v>
      </c>
      <c r="J678" t="s">
        <v>17</v>
      </c>
      <c r="K678" t="s">
        <v>150</v>
      </c>
      <c r="L678" s="12" t="s">
        <v>215</v>
      </c>
    </row>
    <row r="679" spans="1:12" x14ac:dyDescent="0.35">
      <c r="A679" t="s">
        <v>782</v>
      </c>
      <c r="B679" s="10">
        <v>4609</v>
      </c>
      <c r="C679" s="10">
        <v>1084</v>
      </c>
      <c r="D679" s="10">
        <v>8</v>
      </c>
      <c r="E679" s="11" t="s">
        <v>13</v>
      </c>
      <c r="F679" s="11" t="s">
        <v>28</v>
      </c>
      <c r="G679" t="s">
        <v>15</v>
      </c>
      <c r="H679" s="13">
        <v>45137</v>
      </c>
      <c r="I679" s="14" t="s">
        <v>783</v>
      </c>
      <c r="J679" t="s">
        <v>17</v>
      </c>
      <c r="K679" t="s">
        <v>34</v>
      </c>
      <c r="L679" s="12" t="s">
        <v>105</v>
      </c>
    </row>
    <row r="680" spans="1:12" x14ac:dyDescent="0.35">
      <c r="A680" t="s">
        <v>782</v>
      </c>
      <c r="B680" s="10">
        <v>2328</v>
      </c>
      <c r="C680" s="10">
        <v>788</v>
      </c>
      <c r="D680" s="10">
        <v>4</v>
      </c>
      <c r="E680" s="11" t="s">
        <v>30</v>
      </c>
      <c r="F680" s="11" t="s">
        <v>64</v>
      </c>
      <c r="G680" t="s">
        <v>15</v>
      </c>
      <c r="H680" s="13">
        <v>45137</v>
      </c>
      <c r="I680" s="14" t="s">
        <v>783</v>
      </c>
      <c r="J680" t="s">
        <v>17</v>
      </c>
      <c r="K680" t="s">
        <v>34</v>
      </c>
      <c r="L680" s="12" t="s">
        <v>105</v>
      </c>
    </row>
    <row r="681" spans="1:12" x14ac:dyDescent="0.35">
      <c r="A681" t="s">
        <v>782</v>
      </c>
      <c r="B681" s="10">
        <v>4734</v>
      </c>
      <c r="C681" s="10">
        <v>958</v>
      </c>
      <c r="D681" s="10">
        <v>7</v>
      </c>
      <c r="E681" s="11" t="s">
        <v>13</v>
      </c>
      <c r="F681" s="11" t="s">
        <v>28</v>
      </c>
      <c r="G681" t="s">
        <v>32</v>
      </c>
      <c r="H681" s="13">
        <v>45137</v>
      </c>
      <c r="I681" s="14" t="s">
        <v>783</v>
      </c>
      <c r="J681" t="s">
        <v>17</v>
      </c>
      <c r="K681" t="s">
        <v>34</v>
      </c>
      <c r="L681" s="12" t="s">
        <v>105</v>
      </c>
    </row>
    <row r="682" spans="1:12" x14ac:dyDescent="0.35">
      <c r="A682" t="s">
        <v>784</v>
      </c>
      <c r="B682" s="10">
        <v>1388</v>
      </c>
      <c r="C682" s="10">
        <v>345</v>
      </c>
      <c r="D682" s="10">
        <v>5</v>
      </c>
      <c r="E682" s="11" t="s">
        <v>45</v>
      </c>
      <c r="F682" s="11" t="s">
        <v>60</v>
      </c>
      <c r="G682" t="s">
        <v>15</v>
      </c>
      <c r="H682" s="13">
        <v>45570</v>
      </c>
      <c r="I682" s="14" t="s">
        <v>785</v>
      </c>
      <c r="J682" t="s">
        <v>25</v>
      </c>
      <c r="K682" t="s">
        <v>51</v>
      </c>
      <c r="L682" s="12" t="s">
        <v>360</v>
      </c>
    </row>
    <row r="683" spans="1:12" x14ac:dyDescent="0.35">
      <c r="A683" t="s">
        <v>784</v>
      </c>
      <c r="B683" s="10">
        <v>8555</v>
      </c>
      <c r="C683" s="10">
        <v>1638</v>
      </c>
      <c r="D683" s="10">
        <v>8</v>
      </c>
      <c r="E683" s="11" t="s">
        <v>13</v>
      </c>
      <c r="F683" s="11" t="s">
        <v>39</v>
      </c>
      <c r="G683" t="s">
        <v>47</v>
      </c>
      <c r="H683" s="13">
        <v>45570</v>
      </c>
      <c r="I683" s="14" t="s">
        <v>785</v>
      </c>
      <c r="J683" t="s">
        <v>25</v>
      </c>
      <c r="K683" t="s">
        <v>51</v>
      </c>
      <c r="L683" s="12" t="s">
        <v>360</v>
      </c>
    </row>
    <row r="684" spans="1:12" x14ac:dyDescent="0.35">
      <c r="A684" t="s">
        <v>786</v>
      </c>
      <c r="B684" s="10">
        <v>9024</v>
      </c>
      <c r="C684" s="10">
        <v>730</v>
      </c>
      <c r="D684" s="10">
        <v>4</v>
      </c>
      <c r="E684" s="11" t="s">
        <v>45</v>
      </c>
      <c r="F684" s="11" t="s">
        <v>46</v>
      </c>
      <c r="G684" t="s">
        <v>47</v>
      </c>
      <c r="H684" s="13">
        <v>45342</v>
      </c>
      <c r="I684" s="14" t="s">
        <v>787</v>
      </c>
      <c r="J684" t="s">
        <v>71</v>
      </c>
      <c r="K684" t="s">
        <v>72</v>
      </c>
      <c r="L684" s="12" t="s">
        <v>218</v>
      </c>
    </row>
    <row r="685" spans="1:12" x14ac:dyDescent="0.35">
      <c r="A685" t="s">
        <v>786</v>
      </c>
      <c r="B685" s="10">
        <v>2468</v>
      </c>
      <c r="C685" s="10">
        <v>418</v>
      </c>
      <c r="D685" s="10">
        <v>4</v>
      </c>
      <c r="E685" s="11" t="s">
        <v>13</v>
      </c>
      <c r="F685" s="11" t="s">
        <v>39</v>
      </c>
      <c r="G685" t="s">
        <v>47</v>
      </c>
      <c r="H685" s="13">
        <v>45342</v>
      </c>
      <c r="I685" s="14" t="s">
        <v>787</v>
      </c>
      <c r="J685" t="s">
        <v>71</v>
      </c>
      <c r="K685" t="s">
        <v>72</v>
      </c>
      <c r="L685" s="12" t="s">
        <v>218</v>
      </c>
    </row>
    <row r="686" spans="1:12" x14ac:dyDescent="0.35">
      <c r="A686" t="s">
        <v>788</v>
      </c>
      <c r="B686" s="10">
        <v>9438</v>
      </c>
      <c r="C686" s="10">
        <v>1801</v>
      </c>
      <c r="D686" s="10">
        <v>4</v>
      </c>
      <c r="E686" s="11" t="s">
        <v>13</v>
      </c>
      <c r="F686" s="11" t="s">
        <v>14</v>
      </c>
      <c r="G686" t="s">
        <v>65</v>
      </c>
      <c r="H686" s="13">
        <v>45035</v>
      </c>
      <c r="I686" s="14" t="s">
        <v>789</v>
      </c>
      <c r="J686" t="s">
        <v>17</v>
      </c>
      <c r="K686" t="s">
        <v>34</v>
      </c>
      <c r="L686" s="12" t="s">
        <v>145</v>
      </c>
    </row>
    <row r="687" spans="1:12" x14ac:dyDescent="0.35">
      <c r="A687" t="s">
        <v>788</v>
      </c>
      <c r="B687" s="10">
        <v>9438</v>
      </c>
      <c r="C687" s="10">
        <v>1801</v>
      </c>
      <c r="D687" s="10">
        <v>4</v>
      </c>
      <c r="E687" s="11" t="s">
        <v>13</v>
      </c>
      <c r="F687" s="11" t="s">
        <v>14</v>
      </c>
      <c r="G687" t="s">
        <v>65</v>
      </c>
      <c r="H687" s="13">
        <v>45228</v>
      </c>
      <c r="I687" s="14" t="s">
        <v>790</v>
      </c>
      <c r="J687" t="s">
        <v>71</v>
      </c>
      <c r="K687" t="s">
        <v>86</v>
      </c>
      <c r="L687" s="12" t="s">
        <v>442</v>
      </c>
    </row>
    <row r="688" spans="1:12" x14ac:dyDescent="0.35">
      <c r="A688" t="s">
        <v>791</v>
      </c>
      <c r="B688" s="10">
        <v>2685</v>
      </c>
      <c r="C688" s="10">
        <v>379</v>
      </c>
      <c r="D688" s="10">
        <v>18</v>
      </c>
      <c r="E688" s="11" t="s">
        <v>13</v>
      </c>
      <c r="F688" s="11" t="s">
        <v>82</v>
      </c>
      <c r="G688" t="s">
        <v>15</v>
      </c>
      <c r="H688" s="13">
        <v>44628</v>
      </c>
      <c r="I688" s="14" t="s">
        <v>792</v>
      </c>
      <c r="J688" t="s">
        <v>98</v>
      </c>
      <c r="K688" t="s">
        <v>117</v>
      </c>
      <c r="L688" s="12" t="s">
        <v>134</v>
      </c>
    </row>
    <row r="689" spans="1:12" x14ac:dyDescent="0.35">
      <c r="A689" t="s">
        <v>791</v>
      </c>
      <c r="B689" s="10">
        <v>2685</v>
      </c>
      <c r="C689" s="10">
        <v>379</v>
      </c>
      <c r="D689" s="10">
        <v>18</v>
      </c>
      <c r="E689" s="11" t="s">
        <v>13</v>
      </c>
      <c r="F689" s="11" t="s">
        <v>82</v>
      </c>
      <c r="G689" t="s">
        <v>15</v>
      </c>
      <c r="H689" s="13">
        <v>44903</v>
      </c>
      <c r="I689" s="14" t="s">
        <v>793</v>
      </c>
      <c r="J689" t="s">
        <v>17</v>
      </c>
      <c r="K689" t="s">
        <v>150</v>
      </c>
      <c r="L689" s="12" t="s">
        <v>152</v>
      </c>
    </row>
    <row r="690" spans="1:12" x14ac:dyDescent="0.35">
      <c r="A690" t="s">
        <v>791</v>
      </c>
      <c r="B690" s="10">
        <v>9916</v>
      </c>
      <c r="C690" s="10">
        <v>4602</v>
      </c>
      <c r="D690" s="10">
        <v>14</v>
      </c>
      <c r="E690" s="11" t="s">
        <v>45</v>
      </c>
      <c r="F690" s="11" t="s">
        <v>49</v>
      </c>
      <c r="G690" t="s">
        <v>15</v>
      </c>
      <c r="H690" s="13">
        <v>44628</v>
      </c>
      <c r="I690" s="14" t="s">
        <v>792</v>
      </c>
      <c r="J690" t="s">
        <v>98</v>
      </c>
      <c r="K690" t="s">
        <v>117</v>
      </c>
      <c r="L690" s="12" t="s">
        <v>134</v>
      </c>
    </row>
    <row r="691" spans="1:12" x14ac:dyDescent="0.35">
      <c r="A691" t="s">
        <v>791</v>
      </c>
      <c r="B691" s="10">
        <v>9916</v>
      </c>
      <c r="C691" s="10">
        <v>4602</v>
      </c>
      <c r="D691" s="10">
        <v>14</v>
      </c>
      <c r="E691" s="11" t="s">
        <v>45</v>
      </c>
      <c r="F691" s="11" t="s">
        <v>49</v>
      </c>
      <c r="G691" t="s">
        <v>15</v>
      </c>
      <c r="H691" s="13">
        <v>44903</v>
      </c>
      <c r="I691" s="14" t="s">
        <v>793</v>
      </c>
      <c r="J691" t="s">
        <v>17</v>
      </c>
      <c r="K691" t="s">
        <v>150</v>
      </c>
      <c r="L691" s="12" t="s">
        <v>152</v>
      </c>
    </row>
    <row r="692" spans="1:12" x14ac:dyDescent="0.35">
      <c r="A692" t="s">
        <v>791</v>
      </c>
      <c r="B692" s="10">
        <v>6184</v>
      </c>
      <c r="C692" s="10">
        <v>50</v>
      </c>
      <c r="D692" s="10">
        <v>14</v>
      </c>
      <c r="E692" s="11" t="s">
        <v>13</v>
      </c>
      <c r="F692" s="11" t="s">
        <v>14</v>
      </c>
      <c r="G692" t="s">
        <v>47</v>
      </c>
      <c r="H692" s="13">
        <v>44628</v>
      </c>
      <c r="I692" s="14" t="s">
        <v>792</v>
      </c>
      <c r="J692" t="s">
        <v>98</v>
      </c>
      <c r="K692" t="s">
        <v>117</v>
      </c>
      <c r="L692" s="12" t="s">
        <v>134</v>
      </c>
    </row>
    <row r="693" spans="1:12" x14ac:dyDescent="0.35">
      <c r="A693" t="s">
        <v>791</v>
      </c>
      <c r="B693" s="10">
        <v>6184</v>
      </c>
      <c r="C693" s="10">
        <v>50</v>
      </c>
      <c r="D693" s="10">
        <v>14</v>
      </c>
      <c r="E693" s="11" t="s">
        <v>13</v>
      </c>
      <c r="F693" s="11" t="s">
        <v>14</v>
      </c>
      <c r="G693" t="s">
        <v>47</v>
      </c>
      <c r="H693" s="13">
        <v>44903</v>
      </c>
      <c r="I693" s="14" t="s">
        <v>793</v>
      </c>
      <c r="J693" t="s">
        <v>17</v>
      </c>
      <c r="K693" t="s">
        <v>150</v>
      </c>
      <c r="L693" s="12" t="s">
        <v>152</v>
      </c>
    </row>
    <row r="694" spans="1:12" x14ac:dyDescent="0.35">
      <c r="A694" t="s">
        <v>791</v>
      </c>
      <c r="B694" s="10">
        <v>4548</v>
      </c>
      <c r="C694" s="10">
        <v>2135</v>
      </c>
      <c r="D694" s="10">
        <v>8</v>
      </c>
      <c r="E694" s="11" t="s">
        <v>30</v>
      </c>
      <c r="F694" s="11" t="s">
        <v>57</v>
      </c>
      <c r="G694" t="s">
        <v>32</v>
      </c>
      <c r="H694" s="13">
        <v>44628</v>
      </c>
      <c r="I694" s="14" t="s">
        <v>792</v>
      </c>
      <c r="J694" t="s">
        <v>98</v>
      </c>
      <c r="K694" t="s">
        <v>117</v>
      </c>
      <c r="L694" s="12" t="s">
        <v>134</v>
      </c>
    </row>
    <row r="695" spans="1:12" x14ac:dyDescent="0.35">
      <c r="A695" t="s">
        <v>791</v>
      </c>
      <c r="B695" s="10">
        <v>4548</v>
      </c>
      <c r="C695" s="10">
        <v>2135</v>
      </c>
      <c r="D695" s="10">
        <v>8</v>
      </c>
      <c r="E695" s="11" t="s">
        <v>30</v>
      </c>
      <c r="F695" s="11" t="s">
        <v>57</v>
      </c>
      <c r="G695" t="s">
        <v>32</v>
      </c>
      <c r="H695" s="13">
        <v>44903</v>
      </c>
      <c r="I695" s="14" t="s">
        <v>793</v>
      </c>
      <c r="J695" t="s">
        <v>17</v>
      </c>
      <c r="K695" t="s">
        <v>150</v>
      </c>
      <c r="L695" s="12" t="s">
        <v>152</v>
      </c>
    </row>
    <row r="696" spans="1:12" x14ac:dyDescent="0.35">
      <c r="A696" t="s">
        <v>794</v>
      </c>
      <c r="B696" s="10">
        <v>7195</v>
      </c>
      <c r="C696" s="10">
        <v>1665</v>
      </c>
      <c r="D696" s="10">
        <v>7</v>
      </c>
      <c r="E696" s="11" t="s">
        <v>30</v>
      </c>
      <c r="F696" s="11" t="s">
        <v>57</v>
      </c>
      <c r="G696" t="s">
        <v>65</v>
      </c>
      <c r="H696" s="13">
        <v>45500</v>
      </c>
      <c r="I696" s="14" t="s">
        <v>795</v>
      </c>
      <c r="J696" t="s">
        <v>25</v>
      </c>
      <c r="K696" t="s">
        <v>68</v>
      </c>
      <c r="L696" s="12" t="s">
        <v>215</v>
      </c>
    </row>
    <row r="697" spans="1:12" x14ac:dyDescent="0.35">
      <c r="A697" t="s">
        <v>794</v>
      </c>
      <c r="B697" s="10">
        <v>7195</v>
      </c>
      <c r="C697" s="10">
        <v>1665</v>
      </c>
      <c r="D697" s="10">
        <v>7</v>
      </c>
      <c r="E697" s="11" t="s">
        <v>30</v>
      </c>
      <c r="F697" s="11" t="s">
        <v>57</v>
      </c>
      <c r="G697" t="s">
        <v>65</v>
      </c>
      <c r="H697" s="13">
        <v>44747</v>
      </c>
      <c r="I697" s="14" t="s">
        <v>796</v>
      </c>
      <c r="J697" t="s">
        <v>25</v>
      </c>
      <c r="K697" t="s">
        <v>26</v>
      </c>
      <c r="L697" s="12" t="s">
        <v>418</v>
      </c>
    </row>
    <row r="698" spans="1:12" x14ac:dyDescent="0.35">
      <c r="A698" t="s">
        <v>797</v>
      </c>
      <c r="B698" s="10">
        <v>3098</v>
      </c>
      <c r="C698" s="10">
        <v>957</v>
      </c>
      <c r="D698" s="10">
        <v>18</v>
      </c>
      <c r="E698" s="11" t="s">
        <v>45</v>
      </c>
      <c r="F698" s="11" t="s">
        <v>109</v>
      </c>
      <c r="G698" t="s">
        <v>65</v>
      </c>
      <c r="H698" s="13">
        <v>45477</v>
      </c>
      <c r="I698" s="14" t="s">
        <v>798</v>
      </c>
      <c r="J698" t="s">
        <v>71</v>
      </c>
      <c r="K698" t="s">
        <v>86</v>
      </c>
      <c r="L698" s="12" t="s">
        <v>215</v>
      </c>
    </row>
    <row r="699" spans="1:12" x14ac:dyDescent="0.35">
      <c r="A699" t="s">
        <v>799</v>
      </c>
      <c r="B699" s="10">
        <v>5412</v>
      </c>
      <c r="C699" s="10">
        <v>1192</v>
      </c>
      <c r="D699" s="10">
        <v>18</v>
      </c>
      <c r="E699" s="11" t="s">
        <v>45</v>
      </c>
      <c r="F699" s="11" t="s">
        <v>46</v>
      </c>
      <c r="G699" t="s">
        <v>47</v>
      </c>
      <c r="H699" s="13">
        <v>45350</v>
      </c>
      <c r="I699" s="14" t="s">
        <v>800</v>
      </c>
      <c r="J699" t="s">
        <v>42</v>
      </c>
      <c r="K699" t="s">
        <v>75</v>
      </c>
      <c r="L699" s="12" t="s">
        <v>218</v>
      </c>
    </row>
    <row r="700" spans="1:12" x14ac:dyDescent="0.35">
      <c r="A700" t="s">
        <v>799</v>
      </c>
      <c r="B700" s="10">
        <v>5412</v>
      </c>
      <c r="C700" s="10">
        <v>1192</v>
      </c>
      <c r="D700" s="10">
        <v>18</v>
      </c>
      <c r="E700" s="11" t="s">
        <v>45</v>
      </c>
      <c r="F700" s="11" t="s">
        <v>46</v>
      </c>
      <c r="G700" t="s">
        <v>47</v>
      </c>
      <c r="H700" s="13">
        <v>45660</v>
      </c>
      <c r="I700" s="14" t="s">
        <v>801</v>
      </c>
      <c r="J700" t="s">
        <v>42</v>
      </c>
      <c r="K700" t="s">
        <v>43</v>
      </c>
      <c r="L700" s="12" t="s">
        <v>308</v>
      </c>
    </row>
    <row r="701" spans="1:12" x14ac:dyDescent="0.35">
      <c r="A701" t="s">
        <v>802</v>
      </c>
      <c r="B701" s="10">
        <v>1397</v>
      </c>
      <c r="C701" s="10">
        <v>686</v>
      </c>
      <c r="D701" s="10">
        <v>11</v>
      </c>
      <c r="E701" s="11" t="s">
        <v>45</v>
      </c>
      <c r="F701" s="11" t="s">
        <v>49</v>
      </c>
      <c r="G701" t="s">
        <v>47</v>
      </c>
      <c r="H701" s="13">
        <v>44537</v>
      </c>
      <c r="I701" s="14" t="s">
        <v>803</v>
      </c>
      <c r="J701" t="s">
        <v>25</v>
      </c>
      <c r="K701" t="s">
        <v>51</v>
      </c>
      <c r="L701" s="12" t="s">
        <v>90</v>
      </c>
    </row>
    <row r="702" spans="1:12" x14ac:dyDescent="0.35">
      <c r="A702" t="s">
        <v>804</v>
      </c>
      <c r="B702" s="10">
        <v>9279</v>
      </c>
      <c r="C702" s="10">
        <v>552</v>
      </c>
      <c r="D702" s="10">
        <v>14</v>
      </c>
      <c r="E702" s="11" t="s">
        <v>45</v>
      </c>
      <c r="F702" s="11" t="s">
        <v>49</v>
      </c>
      <c r="G702" t="s">
        <v>40</v>
      </c>
      <c r="H702" s="13">
        <v>44544</v>
      </c>
      <c r="I702" s="14" t="s">
        <v>805</v>
      </c>
      <c r="J702" t="s">
        <v>25</v>
      </c>
      <c r="K702" t="s">
        <v>26</v>
      </c>
      <c r="L702" s="12" t="s">
        <v>90</v>
      </c>
    </row>
    <row r="703" spans="1:12" x14ac:dyDescent="0.35">
      <c r="A703" t="s">
        <v>804</v>
      </c>
      <c r="B703" s="10">
        <v>9279</v>
      </c>
      <c r="C703" s="10">
        <v>552</v>
      </c>
      <c r="D703" s="10">
        <v>14</v>
      </c>
      <c r="E703" s="11" t="s">
        <v>45</v>
      </c>
      <c r="F703" s="11" t="s">
        <v>49</v>
      </c>
      <c r="G703" t="s">
        <v>40</v>
      </c>
      <c r="H703" s="13">
        <v>44165</v>
      </c>
      <c r="I703" s="14" t="s">
        <v>806</v>
      </c>
      <c r="J703" t="s">
        <v>42</v>
      </c>
      <c r="K703" t="s">
        <v>92</v>
      </c>
      <c r="L703" s="12" t="s">
        <v>80</v>
      </c>
    </row>
    <row r="704" spans="1:12" x14ac:dyDescent="0.35">
      <c r="A704" t="s">
        <v>804</v>
      </c>
      <c r="B704" s="10">
        <v>2596</v>
      </c>
      <c r="C704" s="10">
        <v>1003</v>
      </c>
      <c r="D704" s="10">
        <v>19</v>
      </c>
      <c r="E704" s="11" t="s">
        <v>30</v>
      </c>
      <c r="F704" s="11" t="s">
        <v>64</v>
      </c>
      <c r="G704" t="s">
        <v>47</v>
      </c>
      <c r="H704" s="13">
        <v>44544</v>
      </c>
      <c r="I704" s="14" t="s">
        <v>805</v>
      </c>
      <c r="J704" t="s">
        <v>25</v>
      </c>
      <c r="K704" t="s">
        <v>26</v>
      </c>
      <c r="L704" s="12" t="s">
        <v>90</v>
      </c>
    </row>
    <row r="705" spans="1:12" x14ac:dyDescent="0.35">
      <c r="A705" t="s">
        <v>804</v>
      </c>
      <c r="B705" s="10">
        <v>2596</v>
      </c>
      <c r="C705" s="10">
        <v>1003</v>
      </c>
      <c r="D705" s="10">
        <v>19</v>
      </c>
      <c r="E705" s="11" t="s">
        <v>30</v>
      </c>
      <c r="F705" s="11" t="s">
        <v>64</v>
      </c>
      <c r="G705" t="s">
        <v>47</v>
      </c>
      <c r="H705" s="13">
        <v>44165</v>
      </c>
      <c r="I705" s="14" t="s">
        <v>806</v>
      </c>
      <c r="J705" t="s">
        <v>42</v>
      </c>
      <c r="K705" t="s">
        <v>92</v>
      </c>
      <c r="L705" s="12" t="s">
        <v>80</v>
      </c>
    </row>
    <row r="706" spans="1:12" x14ac:dyDescent="0.35">
      <c r="A706" t="s">
        <v>807</v>
      </c>
      <c r="B706" s="10">
        <v>6732</v>
      </c>
      <c r="C706" s="10">
        <v>911</v>
      </c>
      <c r="D706" s="10">
        <v>19</v>
      </c>
      <c r="E706" s="11" t="s">
        <v>45</v>
      </c>
      <c r="F706" s="11" t="s">
        <v>109</v>
      </c>
      <c r="G706" t="s">
        <v>40</v>
      </c>
      <c r="H706" s="13">
        <v>44559</v>
      </c>
      <c r="I706" s="14" t="s">
        <v>808</v>
      </c>
      <c r="J706" t="s">
        <v>25</v>
      </c>
      <c r="K706" t="s">
        <v>26</v>
      </c>
      <c r="L706" s="12" t="s">
        <v>90</v>
      </c>
    </row>
    <row r="707" spans="1:12" x14ac:dyDescent="0.35">
      <c r="A707" t="s">
        <v>807</v>
      </c>
      <c r="B707" s="10">
        <v>4495</v>
      </c>
      <c r="C707" s="10">
        <v>1408</v>
      </c>
      <c r="D707" s="10">
        <v>14</v>
      </c>
      <c r="E707" s="11" t="s">
        <v>30</v>
      </c>
      <c r="F707" s="11" t="s">
        <v>31</v>
      </c>
      <c r="G707" t="s">
        <v>40</v>
      </c>
      <c r="H707" s="13">
        <v>44559</v>
      </c>
      <c r="I707" s="14" t="s">
        <v>808</v>
      </c>
      <c r="J707" t="s">
        <v>25</v>
      </c>
      <c r="K707" t="s">
        <v>26</v>
      </c>
      <c r="L707" s="12" t="s">
        <v>90</v>
      </c>
    </row>
    <row r="708" spans="1:12" x14ac:dyDescent="0.35">
      <c r="A708" t="s">
        <v>809</v>
      </c>
      <c r="B708" s="10">
        <v>9653</v>
      </c>
      <c r="C708" s="10">
        <v>2471</v>
      </c>
      <c r="D708" s="10">
        <v>6</v>
      </c>
      <c r="E708" s="11" t="s">
        <v>30</v>
      </c>
      <c r="F708" s="11" t="s">
        <v>64</v>
      </c>
      <c r="G708" t="s">
        <v>15</v>
      </c>
      <c r="H708" s="13">
        <v>45481</v>
      </c>
      <c r="I708" s="14" t="s">
        <v>810</v>
      </c>
      <c r="J708" t="s">
        <v>25</v>
      </c>
      <c r="K708" t="s">
        <v>26</v>
      </c>
      <c r="L708" s="12" t="s">
        <v>215</v>
      </c>
    </row>
    <row r="709" spans="1:12" x14ac:dyDescent="0.35">
      <c r="A709" t="s">
        <v>811</v>
      </c>
      <c r="B709" s="10">
        <v>8945</v>
      </c>
      <c r="C709" s="10">
        <v>1728</v>
      </c>
      <c r="D709" s="10">
        <v>10</v>
      </c>
      <c r="E709" s="11" t="s">
        <v>45</v>
      </c>
      <c r="F709" s="11" t="s">
        <v>46</v>
      </c>
      <c r="G709" t="s">
        <v>15</v>
      </c>
      <c r="H709" s="13">
        <v>44237</v>
      </c>
      <c r="I709" s="14" t="s">
        <v>812</v>
      </c>
      <c r="J709" t="s">
        <v>21</v>
      </c>
      <c r="K709" t="s">
        <v>172</v>
      </c>
      <c r="L709" s="12" t="s">
        <v>292</v>
      </c>
    </row>
    <row r="710" spans="1:12" x14ac:dyDescent="0.35">
      <c r="A710" t="s">
        <v>813</v>
      </c>
      <c r="B710" s="10">
        <v>4007</v>
      </c>
      <c r="C710" s="10">
        <v>201</v>
      </c>
      <c r="D710" s="10">
        <v>13</v>
      </c>
      <c r="E710" s="11" t="s">
        <v>45</v>
      </c>
      <c r="F710" s="11" t="s">
        <v>109</v>
      </c>
      <c r="G710" t="s">
        <v>65</v>
      </c>
      <c r="H710" s="13">
        <v>44125</v>
      </c>
      <c r="I710" s="14" t="s">
        <v>814</v>
      </c>
      <c r="J710" t="s">
        <v>98</v>
      </c>
      <c r="K710" t="s">
        <v>99</v>
      </c>
      <c r="L710" s="12" t="s">
        <v>119</v>
      </c>
    </row>
    <row r="711" spans="1:12" x14ac:dyDescent="0.35">
      <c r="A711" t="s">
        <v>813</v>
      </c>
      <c r="B711" s="10">
        <v>4007</v>
      </c>
      <c r="C711" s="10">
        <v>201</v>
      </c>
      <c r="D711" s="10">
        <v>13</v>
      </c>
      <c r="E711" s="11" t="s">
        <v>45</v>
      </c>
      <c r="F711" s="11" t="s">
        <v>109</v>
      </c>
      <c r="G711" t="s">
        <v>65</v>
      </c>
      <c r="H711" s="13">
        <v>45033</v>
      </c>
      <c r="I711" s="14" t="s">
        <v>815</v>
      </c>
      <c r="J711" t="s">
        <v>71</v>
      </c>
      <c r="K711" t="s">
        <v>72</v>
      </c>
      <c r="L711" s="12" t="s">
        <v>145</v>
      </c>
    </row>
    <row r="712" spans="1:12" x14ac:dyDescent="0.35">
      <c r="A712" t="s">
        <v>816</v>
      </c>
      <c r="B712" s="10">
        <v>810</v>
      </c>
      <c r="C712" s="10">
        <v>231</v>
      </c>
      <c r="D712" s="10">
        <v>18</v>
      </c>
      <c r="E712" s="11" t="s">
        <v>45</v>
      </c>
      <c r="F712" s="11" t="s">
        <v>109</v>
      </c>
      <c r="G712" t="s">
        <v>40</v>
      </c>
      <c r="H712" s="13">
        <v>44125</v>
      </c>
      <c r="I712" s="14" t="s">
        <v>817</v>
      </c>
      <c r="J712" t="s">
        <v>17</v>
      </c>
      <c r="K712" t="s">
        <v>150</v>
      </c>
      <c r="L712" s="12" t="s">
        <v>119</v>
      </c>
    </row>
    <row r="713" spans="1:12" x14ac:dyDescent="0.35">
      <c r="A713" t="s">
        <v>818</v>
      </c>
      <c r="B713" s="10">
        <v>9789</v>
      </c>
      <c r="C713" s="10">
        <v>2071</v>
      </c>
      <c r="D713" s="10">
        <v>18</v>
      </c>
      <c r="E713" s="11" t="s">
        <v>45</v>
      </c>
      <c r="F713" s="11" t="s">
        <v>109</v>
      </c>
      <c r="G713" t="s">
        <v>32</v>
      </c>
      <c r="H713" s="13">
        <v>45288</v>
      </c>
      <c r="I713" s="14" t="s">
        <v>819</v>
      </c>
      <c r="J713" t="s">
        <v>25</v>
      </c>
      <c r="K713" t="s">
        <v>68</v>
      </c>
      <c r="L713" s="12" t="s">
        <v>102</v>
      </c>
    </row>
    <row r="714" spans="1:12" x14ac:dyDescent="0.35">
      <c r="A714" t="s">
        <v>818</v>
      </c>
      <c r="B714" s="10">
        <v>9229</v>
      </c>
      <c r="C714" s="10">
        <v>4090</v>
      </c>
      <c r="D714" s="10">
        <v>8</v>
      </c>
      <c r="E714" s="11" t="s">
        <v>13</v>
      </c>
      <c r="F714" s="11" t="s">
        <v>14</v>
      </c>
      <c r="G714" t="s">
        <v>65</v>
      </c>
      <c r="H714" s="13">
        <v>45288</v>
      </c>
      <c r="I714" s="14" t="s">
        <v>819</v>
      </c>
      <c r="J714" t="s">
        <v>25</v>
      </c>
      <c r="K714" t="s">
        <v>68</v>
      </c>
      <c r="L714" s="12" t="s">
        <v>102</v>
      </c>
    </row>
    <row r="715" spans="1:12" x14ac:dyDescent="0.35">
      <c r="A715" t="s">
        <v>820</v>
      </c>
      <c r="B715" s="10">
        <v>8141</v>
      </c>
      <c r="C715" s="10">
        <v>3968</v>
      </c>
      <c r="D715" s="10">
        <v>18</v>
      </c>
      <c r="E715" s="11" t="s">
        <v>30</v>
      </c>
      <c r="F715" s="11" t="s">
        <v>57</v>
      </c>
      <c r="G715" t="s">
        <v>32</v>
      </c>
      <c r="H715" s="13">
        <v>44918</v>
      </c>
      <c r="I715" s="14" t="s">
        <v>821</v>
      </c>
      <c r="J715" t="s">
        <v>25</v>
      </c>
      <c r="K715" t="s">
        <v>68</v>
      </c>
      <c r="L715" s="12" t="s">
        <v>152</v>
      </c>
    </row>
    <row r="716" spans="1:12" x14ac:dyDescent="0.35">
      <c r="A716" t="s">
        <v>820</v>
      </c>
      <c r="B716" s="10">
        <v>8141</v>
      </c>
      <c r="C716" s="10">
        <v>3968</v>
      </c>
      <c r="D716" s="10">
        <v>18</v>
      </c>
      <c r="E716" s="11" t="s">
        <v>30</v>
      </c>
      <c r="F716" s="11" t="s">
        <v>57</v>
      </c>
      <c r="G716" t="s">
        <v>32</v>
      </c>
      <c r="H716" s="13">
        <v>44783</v>
      </c>
      <c r="I716" s="14" t="s">
        <v>822</v>
      </c>
      <c r="J716" t="s">
        <v>21</v>
      </c>
      <c r="K716" t="s">
        <v>172</v>
      </c>
      <c r="L716" s="12" t="s">
        <v>209</v>
      </c>
    </row>
    <row r="717" spans="1:12" x14ac:dyDescent="0.35">
      <c r="A717" t="s">
        <v>820</v>
      </c>
      <c r="B717" s="10">
        <v>1067</v>
      </c>
      <c r="C717" s="10">
        <v>251</v>
      </c>
      <c r="D717" s="10">
        <v>14</v>
      </c>
      <c r="E717" s="11" t="s">
        <v>45</v>
      </c>
      <c r="F717" s="11" t="s">
        <v>60</v>
      </c>
      <c r="G717" t="s">
        <v>40</v>
      </c>
      <c r="H717" s="13">
        <v>44918</v>
      </c>
      <c r="I717" s="14" t="s">
        <v>821</v>
      </c>
      <c r="J717" t="s">
        <v>25</v>
      </c>
      <c r="K717" t="s">
        <v>68</v>
      </c>
      <c r="L717" s="12" t="s">
        <v>152</v>
      </c>
    </row>
    <row r="718" spans="1:12" x14ac:dyDescent="0.35">
      <c r="A718" t="s">
        <v>820</v>
      </c>
      <c r="B718" s="10">
        <v>1067</v>
      </c>
      <c r="C718" s="10">
        <v>251</v>
      </c>
      <c r="D718" s="10">
        <v>14</v>
      </c>
      <c r="E718" s="11" t="s">
        <v>45</v>
      </c>
      <c r="F718" s="11" t="s">
        <v>60</v>
      </c>
      <c r="G718" t="s">
        <v>40</v>
      </c>
      <c r="H718" s="13">
        <v>44783</v>
      </c>
      <c r="I718" s="14" t="s">
        <v>822</v>
      </c>
      <c r="J718" t="s">
        <v>21</v>
      </c>
      <c r="K718" t="s">
        <v>172</v>
      </c>
      <c r="L718" s="12" t="s">
        <v>209</v>
      </c>
    </row>
    <row r="719" spans="1:12" x14ac:dyDescent="0.35">
      <c r="A719" t="s">
        <v>823</v>
      </c>
      <c r="B719" s="10">
        <v>3839</v>
      </c>
      <c r="C719" s="10">
        <v>1415</v>
      </c>
      <c r="D719" s="10">
        <v>10</v>
      </c>
      <c r="E719" s="11" t="s">
        <v>30</v>
      </c>
      <c r="F719" s="11" t="s">
        <v>78</v>
      </c>
      <c r="G719" t="s">
        <v>15</v>
      </c>
      <c r="H719" s="13">
        <v>45216</v>
      </c>
      <c r="I719" s="14" t="s">
        <v>824</v>
      </c>
      <c r="J719" t="s">
        <v>42</v>
      </c>
      <c r="K719" t="s">
        <v>43</v>
      </c>
      <c r="L719" s="12" t="s">
        <v>442</v>
      </c>
    </row>
    <row r="720" spans="1:12" x14ac:dyDescent="0.35">
      <c r="A720" t="s">
        <v>823</v>
      </c>
      <c r="B720" s="10">
        <v>3839</v>
      </c>
      <c r="C720" s="10">
        <v>1415</v>
      </c>
      <c r="D720" s="10">
        <v>10</v>
      </c>
      <c r="E720" s="11" t="s">
        <v>30</v>
      </c>
      <c r="F720" s="11" t="s">
        <v>78</v>
      </c>
      <c r="G720" t="s">
        <v>15</v>
      </c>
      <c r="H720" s="13">
        <v>44620</v>
      </c>
      <c r="I720" s="14" t="s">
        <v>825</v>
      </c>
      <c r="J720" t="s">
        <v>17</v>
      </c>
      <c r="K720" t="s">
        <v>34</v>
      </c>
      <c r="L720" s="12" t="s">
        <v>137</v>
      </c>
    </row>
    <row r="721" spans="1:12" x14ac:dyDescent="0.35">
      <c r="A721" t="s">
        <v>826</v>
      </c>
      <c r="B721" s="10">
        <v>2858</v>
      </c>
      <c r="C721" s="10">
        <v>482</v>
      </c>
      <c r="D721" s="10">
        <v>13</v>
      </c>
      <c r="E721" s="11" t="s">
        <v>13</v>
      </c>
      <c r="F721" s="11" t="s">
        <v>14</v>
      </c>
      <c r="G721" t="s">
        <v>65</v>
      </c>
      <c r="H721" s="13">
        <v>45436</v>
      </c>
      <c r="I721" s="14" t="s">
        <v>827</v>
      </c>
      <c r="J721" t="s">
        <v>71</v>
      </c>
      <c r="K721" t="s">
        <v>86</v>
      </c>
      <c r="L721" s="12" t="s">
        <v>35</v>
      </c>
    </row>
    <row r="722" spans="1:12" x14ac:dyDescent="0.35">
      <c r="A722" t="s">
        <v>828</v>
      </c>
      <c r="B722" s="10">
        <v>2137</v>
      </c>
      <c r="C722" s="10">
        <v>638</v>
      </c>
      <c r="D722" s="10">
        <v>12</v>
      </c>
      <c r="E722" s="11" t="s">
        <v>45</v>
      </c>
      <c r="F722" s="11" t="s">
        <v>109</v>
      </c>
      <c r="G722" t="s">
        <v>32</v>
      </c>
      <c r="H722" s="13">
        <v>44106</v>
      </c>
      <c r="I722" s="14" t="s">
        <v>829</v>
      </c>
      <c r="J722" t="s">
        <v>25</v>
      </c>
      <c r="K722" t="s">
        <v>51</v>
      </c>
      <c r="L722" s="12" t="s">
        <v>119</v>
      </c>
    </row>
    <row r="723" spans="1:12" x14ac:dyDescent="0.35">
      <c r="A723" t="s">
        <v>828</v>
      </c>
      <c r="B723" s="10">
        <v>2831</v>
      </c>
      <c r="C723" s="10">
        <v>1289</v>
      </c>
      <c r="D723" s="10">
        <v>12</v>
      </c>
      <c r="E723" s="11" t="s">
        <v>45</v>
      </c>
      <c r="F723" s="11" t="s">
        <v>49</v>
      </c>
      <c r="G723" t="s">
        <v>32</v>
      </c>
      <c r="H723" s="13">
        <v>44106</v>
      </c>
      <c r="I723" s="14" t="s">
        <v>829</v>
      </c>
      <c r="J723" t="s">
        <v>25</v>
      </c>
      <c r="K723" t="s">
        <v>51</v>
      </c>
      <c r="L723" s="12" t="s">
        <v>119</v>
      </c>
    </row>
    <row r="724" spans="1:12" x14ac:dyDescent="0.35">
      <c r="A724" t="s">
        <v>830</v>
      </c>
      <c r="B724" s="10">
        <v>3913</v>
      </c>
      <c r="C724" s="10">
        <v>961</v>
      </c>
      <c r="D724" s="10">
        <v>15</v>
      </c>
      <c r="E724" s="11" t="s">
        <v>45</v>
      </c>
      <c r="F724" s="11" t="s">
        <v>60</v>
      </c>
      <c r="G724" t="s">
        <v>15</v>
      </c>
      <c r="H724" s="13">
        <v>45332</v>
      </c>
      <c r="I724" s="14" t="s">
        <v>831</v>
      </c>
      <c r="J724" t="s">
        <v>98</v>
      </c>
      <c r="K724" t="s">
        <v>99</v>
      </c>
      <c r="L724" s="12" t="s">
        <v>218</v>
      </c>
    </row>
    <row r="725" spans="1:12" x14ac:dyDescent="0.35">
      <c r="A725" t="s">
        <v>830</v>
      </c>
      <c r="B725" s="10">
        <v>3913</v>
      </c>
      <c r="C725" s="10">
        <v>961</v>
      </c>
      <c r="D725" s="10">
        <v>15</v>
      </c>
      <c r="E725" s="11" t="s">
        <v>45</v>
      </c>
      <c r="F725" s="11" t="s">
        <v>60</v>
      </c>
      <c r="G725" t="s">
        <v>15</v>
      </c>
      <c r="H725" s="13">
        <v>44233</v>
      </c>
      <c r="I725" s="14" t="s">
        <v>832</v>
      </c>
      <c r="J725" t="s">
        <v>42</v>
      </c>
      <c r="K725" t="s">
        <v>92</v>
      </c>
      <c r="L725" s="12" t="s">
        <v>292</v>
      </c>
    </row>
    <row r="726" spans="1:12" x14ac:dyDescent="0.35">
      <c r="A726" t="s">
        <v>833</v>
      </c>
      <c r="B726" s="10">
        <v>4468</v>
      </c>
      <c r="C726" s="10">
        <v>1940</v>
      </c>
      <c r="D726" s="10">
        <v>9</v>
      </c>
      <c r="E726" s="11" t="s">
        <v>30</v>
      </c>
      <c r="F726" s="11" t="s">
        <v>64</v>
      </c>
      <c r="G726" t="s">
        <v>65</v>
      </c>
      <c r="H726" s="13">
        <v>44636</v>
      </c>
      <c r="I726" s="14" t="s">
        <v>834</v>
      </c>
      <c r="J726" t="s">
        <v>17</v>
      </c>
      <c r="K726" t="s">
        <v>150</v>
      </c>
      <c r="L726" s="12" t="s">
        <v>134</v>
      </c>
    </row>
    <row r="727" spans="1:12" x14ac:dyDescent="0.35">
      <c r="A727" t="s">
        <v>835</v>
      </c>
      <c r="B727" s="10">
        <v>1579</v>
      </c>
      <c r="C727" s="10">
        <v>602</v>
      </c>
      <c r="D727" s="10">
        <v>9</v>
      </c>
      <c r="E727" s="11" t="s">
        <v>13</v>
      </c>
      <c r="F727" s="11" t="s">
        <v>39</v>
      </c>
      <c r="G727" t="s">
        <v>47</v>
      </c>
      <c r="H727" s="13">
        <v>43975</v>
      </c>
      <c r="I727" s="14" t="s">
        <v>836</v>
      </c>
      <c r="J727" t="s">
        <v>98</v>
      </c>
      <c r="K727" t="s">
        <v>107</v>
      </c>
      <c r="L727" s="12" t="s">
        <v>59</v>
      </c>
    </row>
    <row r="728" spans="1:12" x14ac:dyDescent="0.35">
      <c r="A728" t="s">
        <v>835</v>
      </c>
      <c r="B728" s="10">
        <v>1579</v>
      </c>
      <c r="C728" s="10">
        <v>602</v>
      </c>
      <c r="D728" s="10">
        <v>9</v>
      </c>
      <c r="E728" s="11" t="s">
        <v>13</v>
      </c>
      <c r="F728" s="11" t="s">
        <v>39</v>
      </c>
      <c r="G728" t="s">
        <v>47</v>
      </c>
      <c r="H728" s="13">
        <v>45704</v>
      </c>
      <c r="I728" s="14" t="s">
        <v>837</v>
      </c>
      <c r="J728" t="s">
        <v>71</v>
      </c>
      <c r="K728" t="s">
        <v>72</v>
      </c>
      <c r="L728" s="12" t="s">
        <v>73</v>
      </c>
    </row>
    <row r="729" spans="1:12" x14ac:dyDescent="0.35">
      <c r="A729" t="s">
        <v>835</v>
      </c>
      <c r="B729" s="10">
        <v>1579</v>
      </c>
      <c r="C729" s="10">
        <v>602</v>
      </c>
      <c r="D729" s="10">
        <v>9</v>
      </c>
      <c r="E729" s="11" t="s">
        <v>13</v>
      </c>
      <c r="F729" s="11" t="s">
        <v>39</v>
      </c>
      <c r="G729" t="s">
        <v>47</v>
      </c>
      <c r="H729" s="13">
        <v>44516</v>
      </c>
      <c r="I729" s="14" t="s">
        <v>838</v>
      </c>
      <c r="J729" t="s">
        <v>98</v>
      </c>
      <c r="K729" t="s">
        <v>107</v>
      </c>
      <c r="L729" s="12" t="s">
        <v>175</v>
      </c>
    </row>
    <row r="730" spans="1:12" x14ac:dyDescent="0.35">
      <c r="A730" t="s">
        <v>835</v>
      </c>
      <c r="B730" s="10">
        <v>1579</v>
      </c>
      <c r="C730" s="10">
        <v>602</v>
      </c>
      <c r="D730" s="10">
        <v>9</v>
      </c>
      <c r="E730" s="11" t="s">
        <v>13</v>
      </c>
      <c r="F730" s="11" t="s">
        <v>39</v>
      </c>
      <c r="G730" t="s">
        <v>47</v>
      </c>
      <c r="H730" s="13">
        <v>45543</v>
      </c>
      <c r="I730" s="14" t="s">
        <v>839</v>
      </c>
      <c r="J730" t="s">
        <v>25</v>
      </c>
      <c r="K730" t="s">
        <v>68</v>
      </c>
      <c r="L730" s="12" t="s">
        <v>159</v>
      </c>
    </row>
    <row r="731" spans="1:12" x14ac:dyDescent="0.35">
      <c r="A731" t="s">
        <v>835</v>
      </c>
      <c r="B731" s="10">
        <v>3760</v>
      </c>
      <c r="C731" s="10">
        <v>1849</v>
      </c>
      <c r="D731" s="10">
        <v>19</v>
      </c>
      <c r="E731" s="11" t="s">
        <v>45</v>
      </c>
      <c r="F731" s="11" t="s">
        <v>49</v>
      </c>
      <c r="G731" t="s">
        <v>40</v>
      </c>
      <c r="H731" s="13">
        <v>43975</v>
      </c>
      <c r="I731" s="14" t="s">
        <v>836</v>
      </c>
      <c r="J731" t="s">
        <v>98</v>
      </c>
      <c r="K731" t="s">
        <v>107</v>
      </c>
      <c r="L731" s="12" t="s">
        <v>59</v>
      </c>
    </row>
    <row r="732" spans="1:12" x14ac:dyDescent="0.35">
      <c r="A732" t="s">
        <v>835</v>
      </c>
      <c r="B732" s="10">
        <v>3760</v>
      </c>
      <c r="C732" s="10">
        <v>1849</v>
      </c>
      <c r="D732" s="10">
        <v>19</v>
      </c>
      <c r="E732" s="11" t="s">
        <v>45</v>
      </c>
      <c r="F732" s="11" t="s">
        <v>49</v>
      </c>
      <c r="G732" t="s">
        <v>40</v>
      </c>
      <c r="H732" s="13">
        <v>45704</v>
      </c>
      <c r="I732" s="14" t="s">
        <v>837</v>
      </c>
      <c r="J732" t="s">
        <v>71</v>
      </c>
      <c r="K732" t="s">
        <v>72</v>
      </c>
      <c r="L732" s="12" t="s">
        <v>73</v>
      </c>
    </row>
    <row r="733" spans="1:12" x14ac:dyDescent="0.35">
      <c r="A733" t="s">
        <v>835</v>
      </c>
      <c r="B733" s="10">
        <v>3760</v>
      </c>
      <c r="C733" s="10">
        <v>1849</v>
      </c>
      <c r="D733" s="10">
        <v>19</v>
      </c>
      <c r="E733" s="11" t="s">
        <v>45</v>
      </c>
      <c r="F733" s="11" t="s">
        <v>49</v>
      </c>
      <c r="G733" t="s">
        <v>40</v>
      </c>
      <c r="H733" s="13">
        <v>44516</v>
      </c>
      <c r="I733" s="14" t="s">
        <v>838</v>
      </c>
      <c r="J733" t="s">
        <v>98</v>
      </c>
      <c r="K733" t="s">
        <v>107</v>
      </c>
      <c r="L733" s="12" t="s">
        <v>175</v>
      </c>
    </row>
    <row r="734" spans="1:12" x14ac:dyDescent="0.35">
      <c r="A734" t="s">
        <v>835</v>
      </c>
      <c r="B734" s="10">
        <v>3760</v>
      </c>
      <c r="C734" s="10">
        <v>1849</v>
      </c>
      <c r="D734" s="10">
        <v>19</v>
      </c>
      <c r="E734" s="11" t="s">
        <v>45</v>
      </c>
      <c r="F734" s="11" t="s">
        <v>49</v>
      </c>
      <c r="G734" t="s">
        <v>40</v>
      </c>
      <c r="H734" s="13">
        <v>45543</v>
      </c>
      <c r="I734" s="14" t="s">
        <v>839</v>
      </c>
      <c r="J734" t="s">
        <v>25</v>
      </c>
      <c r="K734" t="s">
        <v>68</v>
      </c>
      <c r="L734" s="12" t="s">
        <v>159</v>
      </c>
    </row>
    <row r="735" spans="1:12" x14ac:dyDescent="0.35">
      <c r="A735" t="s">
        <v>840</v>
      </c>
      <c r="B735" s="10">
        <v>8706</v>
      </c>
      <c r="C735" s="10">
        <v>3099</v>
      </c>
      <c r="D735" s="10">
        <v>14</v>
      </c>
      <c r="E735" s="11" t="s">
        <v>30</v>
      </c>
      <c r="F735" s="11" t="s">
        <v>31</v>
      </c>
      <c r="G735" t="s">
        <v>47</v>
      </c>
      <c r="H735" s="13">
        <v>44741</v>
      </c>
      <c r="I735" s="14" t="s">
        <v>841</v>
      </c>
      <c r="J735" t="s">
        <v>21</v>
      </c>
      <c r="K735" t="s">
        <v>22</v>
      </c>
      <c r="L735" s="12" t="s">
        <v>165</v>
      </c>
    </row>
    <row r="736" spans="1:12" x14ac:dyDescent="0.35">
      <c r="A736" t="s">
        <v>840</v>
      </c>
      <c r="B736" s="10">
        <v>4708</v>
      </c>
      <c r="C736" s="10">
        <v>696</v>
      </c>
      <c r="D736" s="10">
        <v>14</v>
      </c>
      <c r="E736" s="11" t="s">
        <v>13</v>
      </c>
      <c r="F736" s="11" t="s">
        <v>14</v>
      </c>
      <c r="G736" t="s">
        <v>47</v>
      </c>
      <c r="H736" s="13">
        <v>44741</v>
      </c>
      <c r="I736" s="14" t="s">
        <v>841</v>
      </c>
      <c r="J736" t="s">
        <v>21</v>
      </c>
      <c r="K736" t="s">
        <v>22</v>
      </c>
      <c r="L736" s="12" t="s">
        <v>165</v>
      </c>
    </row>
    <row r="737" spans="1:12" x14ac:dyDescent="0.35">
      <c r="A737" t="s">
        <v>840</v>
      </c>
      <c r="B737" s="10">
        <v>8089</v>
      </c>
      <c r="C737" s="10">
        <v>3132</v>
      </c>
      <c r="D737" s="10">
        <v>17</v>
      </c>
      <c r="E737" s="11" t="s">
        <v>45</v>
      </c>
      <c r="F737" s="11" t="s">
        <v>49</v>
      </c>
      <c r="G737" t="s">
        <v>65</v>
      </c>
      <c r="H737" s="13">
        <v>44741</v>
      </c>
      <c r="I737" s="14" t="s">
        <v>841</v>
      </c>
      <c r="J737" t="s">
        <v>21</v>
      </c>
      <c r="K737" t="s">
        <v>22</v>
      </c>
      <c r="L737" s="12" t="s">
        <v>165</v>
      </c>
    </row>
    <row r="738" spans="1:12" x14ac:dyDescent="0.35">
      <c r="A738" t="s">
        <v>842</v>
      </c>
      <c r="B738" s="10">
        <v>5462</v>
      </c>
      <c r="C738" s="10">
        <v>673</v>
      </c>
      <c r="D738" s="10">
        <v>12</v>
      </c>
      <c r="E738" s="11" t="s">
        <v>13</v>
      </c>
      <c r="F738" s="11" t="s">
        <v>28</v>
      </c>
      <c r="G738" t="s">
        <v>32</v>
      </c>
      <c r="H738" s="13">
        <v>44868</v>
      </c>
      <c r="I738" s="14" t="s">
        <v>843</v>
      </c>
      <c r="J738" t="s">
        <v>71</v>
      </c>
      <c r="K738" t="s">
        <v>86</v>
      </c>
      <c r="L738" s="12" t="s">
        <v>44</v>
      </c>
    </row>
    <row r="739" spans="1:12" x14ac:dyDescent="0.35">
      <c r="A739" t="s">
        <v>844</v>
      </c>
      <c r="B739" s="10">
        <v>6392</v>
      </c>
      <c r="C739" s="10">
        <v>444</v>
      </c>
      <c r="D739" s="10">
        <v>18</v>
      </c>
      <c r="E739" s="11" t="s">
        <v>13</v>
      </c>
      <c r="F739" s="11" t="s">
        <v>14</v>
      </c>
      <c r="G739" t="s">
        <v>47</v>
      </c>
      <c r="H739" s="13">
        <v>45258</v>
      </c>
      <c r="I739" s="14" t="s">
        <v>845</v>
      </c>
      <c r="J739" t="s">
        <v>17</v>
      </c>
      <c r="K739" t="s">
        <v>150</v>
      </c>
      <c r="L739" s="12" t="s">
        <v>52</v>
      </c>
    </row>
    <row r="740" spans="1:12" x14ac:dyDescent="0.35">
      <c r="A740" t="s">
        <v>846</v>
      </c>
      <c r="B740" s="10">
        <v>8706</v>
      </c>
      <c r="C740" s="10">
        <v>1724</v>
      </c>
      <c r="D740" s="10">
        <v>3</v>
      </c>
      <c r="E740" s="11" t="s">
        <v>13</v>
      </c>
      <c r="F740" s="11" t="s">
        <v>14</v>
      </c>
      <c r="G740" t="s">
        <v>32</v>
      </c>
      <c r="H740" s="13">
        <v>43946</v>
      </c>
      <c r="I740" s="14" t="s">
        <v>847</v>
      </c>
      <c r="J740" t="s">
        <v>17</v>
      </c>
      <c r="K740" t="s">
        <v>34</v>
      </c>
      <c r="L740" s="12" t="s">
        <v>162</v>
      </c>
    </row>
    <row r="741" spans="1:12" x14ac:dyDescent="0.35">
      <c r="A741" t="s">
        <v>848</v>
      </c>
      <c r="B741" s="10">
        <v>2349</v>
      </c>
      <c r="C741" s="10">
        <v>319</v>
      </c>
      <c r="D741" s="10">
        <v>4</v>
      </c>
      <c r="E741" s="11" t="s">
        <v>30</v>
      </c>
      <c r="F741" s="11" t="s">
        <v>31</v>
      </c>
      <c r="G741" t="s">
        <v>15</v>
      </c>
      <c r="H741" s="13">
        <v>44579</v>
      </c>
      <c r="I741" s="14" t="s">
        <v>849</v>
      </c>
      <c r="J741" t="s">
        <v>17</v>
      </c>
      <c r="K741" t="s">
        <v>18</v>
      </c>
      <c r="L741" s="12" t="s">
        <v>87</v>
      </c>
    </row>
    <row r="742" spans="1:12" x14ac:dyDescent="0.35">
      <c r="A742" t="s">
        <v>848</v>
      </c>
      <c r="B742" s="10">
        <v>8220</v>
      </c>
      <c r="C742" s="10">
        <v>3882</v>
      </c>
      <c r="D742" s="10">
        <v>14</v>
      </c>
      <c r="E742" s="11" t="s">
        <v>45</v>
      </c>
      <c r="F742" s="11" t="s">
        <v>49</v>
      </c>
      <c r="G742" t="s">
        <v>15</v>
      </c>
      <c r="H742" s="13">
        <v>44579</v>
      </c>
      <c r="I742" s="14" t="s">
        <v>849</v>
      </c>
      <c r="J742" t="s">
        <v>17</v>
      </c>
      <c r="K742" t="s">
        <v>18</v>
      </c>
      <c r="L742" s="12" t="s">
        <v>87</v>
      </c>
    </row>
    <row r="743" spans="1:12" x14ac:dyDescent="0.35">
      <c r="A743" t="s">
        <v>848</v>
      </c>
      <c r="B743" s="10">
        <v>2379</v>
      </c>
      <c r="C743" s="10">
        <v>279</v>
      </c>
      <c r="D743" s="10">
        <v>7</v>
      </c>
      <c r="E743" s="11" t="s">
        <v>45</v>
      </c>
      <c r="F743" s="11" t="s">
        <v>49</v>
      </c>
      <c r="G743" t="s">
        <v>32</v>
      </c>
      <c r="H743" s="13">
        <v>44579</v>
      </c>
      <c r="I743" s="14" t="s">
        <v>849</v>
      </c>
      <c r="J743" t="s">
        <v>17</v>
      </c>
      <c r="K743" t="s">
        <v>18</v>
      </c>
      <c r="L743" s="12" t="s">
        <v>87</v>
      </c>
    </row>
    <row r="744" spans="1:12" x14ac:dyDescent="0.35">
      <c r="A744" t="s">
        <v>848</v>
      </c>
      <c r="B744" s="10">
        <v>7377</v>
      </c>
      <c r="C744" s="10">
        <v>2049</v>
      </c>
      <c r="D744" s="10">
        <v>4</v>
      </c>
      <c r="E744" s="11" t="s">
        <v>30</v>
      </c>
      <c r="F744" s="11" t="s">
        <v>57</v>
      </c>
      <c r="G744" t="s">
        <v>15</v>
      </c>
      <c r="H744" s="13">
        <v>44579</v>
      </c>
      <c r="I744" s="14" t="s">
        <v>849</v>
      </c>
      <c r="J744" t="s">
        <v>17</v>
      </c>
      <c r="K744" t="s">
        <v>18</v>
      </c>
      <c r="L744" s="12" t="s">
        <v>87</v>
      </c>
    </row>
    <row r="745" spans="1:12" x14ac:dyDescent="0.35">
      <c r="A745" t="s">
        <v>850</v>
      </c>
      <c r="B745" s="10">
        <v>717</v>
      </c>
      <c r="C745" s="10">
        <v>158</v>
      </c>
      <c r="D745" s="10">
        <v>16</v>
      </c>
      <c r="E745" s="11" t="s">
        <v>45</v>
      </c>
      <c r="F745" s="11" t="s">
        <v>46</v>
      </c>
      <c r="G745" t="s">
        <v>47</v>
      </c>
      <c r="H745" s="13">
        <v>44643</v>
      </c>
      <c r="I745" s="14" t="s">
        <v>851</v>
      </c>
      <c r="J745" t="s">
        <v>98</v>
      </c>
      <c r="K745" t="s">
        <v>117</v>
      </c>
      <c r="L745" s="12" t="s">
        <v>134</v>
      </c>
    </row>
    <row r="746" spans="1:12" x14ac:dyDescent="0.35">
      <c r="A746" t="s">
        <v>850</v>
      </c>
      <c r="B746" s="10">
        <v>717</v>
      </c>
      <c r="C746" s="10">
        <v>158</v>
      </c>
      <c r="D746" s="10">
        <v>16</v>
      </c>
      <c r="E746" s="11" t="s">
        <v>45</v>
      </c>
      <c r="F746" s="11" t="s">
        <v>46</v>
      </c>
      <c r="G746" t="s">
        <v>47</v>
      </c>
      <c r="H746" s="13">
        <v>44006</v>
      </c>
      <c r="I746" s="14" t="s">
        <v>852</v>
      </c>
      <c r="J746" t="s">
        <v>17</v>
      </c>
      <c r="K746" t="s">
        <v>18</v>
      </c>
      <c r="L746" s="12" t="s">
        <v>313</v>
      </c>
    </row>
    <row r="747" spans="1:12" x14ac:dyDescent="0.35">
      <c r="A747" t="s">
        <v>850</v>
      </c>
      <c r="B747" s="10">
        <v>717</v>
      </c>
      <c r="C747" s="10">
        <v>158</v>
      </c>
      <c r="D747" s="10">
        <v>16</v>
      </c>
      <c r="E747" s="11" t="s">
        <v>45</v>
      </c>
      <c r="F747" s="11" t="s">
        <v>46</v>
      </c>
      <c r="G747" t="s">
        <v>47</v>
      </c>
      <c r="H747" s="13">
        <v>44918</v>
      </c>
      <c r="I747" s="14" t="s">
        <v>853</v>
      </c>
      <c r="J747" t="s">
        <v>25</v>
      </c>
      <c r="K747" t="s">
        <v>26</v>
      </c>
      <c r="L747" s="12" t="s">
        <v>152</v>
      </c>
    </row>
    <row r="748" spans="1:12" x14ac:dyDescent="0.35">
      <c r="A748" t="s">
        <v>850</v>
      </c>
      <c r="B748" s="10">
        <v>717</v>
      </c>
      <c r="C748" s="10">
        <v>158</v>
      </c>
      <c r="D748" s="10">
        <v>16</v>
      </c>
      <c r="E748" s="11" t="s">
        <v>45</v>
      </c>
      <c r="F748" s="11" t="s">
        <v>46</v>
      </c>
      <c r="G748" t="s">
        <v>47</v>
      </c>
      <c r="H748" s="13">
        <v>45620</v>
      </c>
      <c r="I748" s="14" t="s">
        <v>854</v>
      </c>
      <c r="J748" t="s">
        <v>25</v>
      </c>
      <c r="K748" t="s">
        <v>51</v>
      </c>
      <c r="L748" s="12" t="s">
        <v>255</v>
      </c>
    </row>
    <row r="749" spans="1:12" x14ac:dyDescent="0.35">
      <c r="A749" t="s">
        <v>850</v>
      </c>
      <c r="B749" s="10">
        <v>717</v>
      </c>
      <c r="C749" s="10">
        <v>158</v>
      </c>
      <c r="D749" s="10">
        <v>16</v>
      </c>
      <c r="E749" s="11" t="s">
        <v>45</v>
      </c>
      <c r="F749" s="11" t="s">
        <v>46</v>
      </c>
      <c r="G749" t="s">
        <v>47</v>
      </c>
      <c r="H749" s="13">
        <v>44141</v>
      </c>
      <c r="I749" s="14" t="s">
        <v>855</v>
      </c>
      <c r="J749" t="s">
        <v>17</v>
      </c>
      <c r="K749" t="s">
        <v>34</v>
      </c>
      <c r="L749" s="12" t="s">
        <v>80</v>
      </c>
    </row>
    <row r="750" spans="1:12" x14ac:dyDescent="0.35">
      <c r="A750" t="s">
        <v>850</v>
      </c>
      <c r="B750" s="10">
        <v>717</v>
      </c>
      <c r="C750" s="10">
        <v>158</v>
      </c>
      <c r="D750" s="10">
        <v>16</v>
      </c>
      <c r="E750" s="11" t="s">
        <v>45</v>
      </c>
      <c r="F750" s="11" t="s">
        <v>46</v>
      </c>
      <c r="G750" t="s">
        <v>47</v>
      </c>
      <c r="H750" s="13">
        <v>45223</v>
      </c>
      <c r="I750" s="14" t="s">
        <v>856</v>
      </c>
      <c r="J750" t="s">
        <v>25</v>
      </c>
      <c r="K750" t="s">
        <v>68</v>
      </c>
      <c r="L750" s="12" t="s">
        <v>442</v>
      </c>
    </row>
    <row r="751" spans="1:12" x14ac:dyDescent="0.35">
      <c r="A751" t="s">
        <v>850</v>
      </c>
      <c r="B751" s="10">
        <v>508</v>
      </c>
      <c r="C751" s="10">
        <v>177</v>
      </c>
      <c r="D751" s="10">
        <v>17</v>
      </c>
      <c r="E751" s="11" t="s">
        <v>45</v>
      </c>
      <c r="F751" s="11" t="s">
        <v>60</v>
      </c>
      <c r="G751" t="s">
        <v>15</v>
      </c>
      <c r="H751" s="13">
        <v>44643</v>
      </c>
      <c r="I751" s="14" t="s">
        <v>851</v>
      </c>
      <c r="J751" t="s">
        <v>98</v>
      </c>
      <c r="K751" t="s">
        <v>117</v>
      </c>
      <c r="L751" s="12" t="s">
        <v>134</v>
      </c>
    </row>
    <row r="752" spans="1:12" x14ac:dyDescent="0.35">
      <c r="A752" t="s">
        <v>850</v>
      </c>
      <c r="B752" s="10">
        <v>508</v>
      </c>
      <c r="C752" s="10">
        <v>177</v>
      </c>
      <c r="D752" s="10">
        <v>17</v>
      </c>
      <c r="E752" s="11" t="s">
        <v>45</v>
      </c>
      <c r="F752" s="11" t="s">
        <v>60</v>
      </c>
      <c r="G752" t="s">
        <v>15</v>
      </c>
      <c r="H752" s="13">
        <v>44006</v>
      </c>
      <c r="I752" s="14" t="s">
        <v>852</v>
      </c>
      <c r="J752" t="s">
        <v>17</v>
      </c>
      <c r="K752" t="s">
        <v>18</v>
      </c>
      <c r="L752" s="12" t="s">
        <v>313</v>
      </c>
    </row>
    <row r="753" spans="1:12" x14ac:dyDescent="0.35">
      <c r="A753" t="s">
        <v>850</v>
      </c>
      <c r="B753" s="10">
        <v>508</v>
      </c>
      <c r="C753" s="10">
        <v>177</v>
      </c>
      <c r="D753" s="10">
        <v>17</v>
      </c>
      <c r="E753" s="11" t="s">
        <v>45</v>
      </c>
      <c r="F753" s="11" t="s">
        <v>60</v>
      </c>
      <c r="G753" t="s">
        <v>15</v>
      </c>
      <c r="H753" s="13">
        <v>44918</v>
      </c>
      <c r="I753" s="14" t="s">
        <v>853</v>
      </c>
      <c r="J753" t="s">
        <v>25</v>
      </c>
      <c r="K753" t="s">
        <v>26</v>
      </c>
      <c r="L753" s="12" t="s">
        <v>152</v>
      </c>
    </row>
    <row r="754" spans="1:12" x14ac:dyDescent="0.35">
      <c r="A754" t="s">
        <v>850</v>
      </c>
      <c r="B754" s="10">
        <v>508</v>
      </c>
      <c r="C754" s="10">
        <v>177</v>
      </c>
      <c r="D754" s="10">
        <v>17</v>
      </c>
      <c r="E754" s="11" t="s">
        <v>45</v>
      </c>
      <c r="F754" s="11" t="s">
        <v>60</v>
      </c>
      <c r="G754" t="s">
        <v>15</v>
      </c>
      <c r="H754" s="13">
        <v>45620</v>
      </c>
      <c r="I754" s="14" t="s">
        <v>854</v>
      </c>
      <c r="J754" t="s">
        <v>25</v>
      </c>
      <c r="K754" t="s">
        <v>51</v>
      </c>
      <c r="L754" s="12" t="s">
        <v>255</v>
      </c>
    </row>
    <row r="755" spans="1:12" x14ac:dyDescent="0.35">
      <c r="A755" t="s">
        <v>850</v>
      </c>
      <c r="B755" s="10">
        <v>508</v>
      </c>
      <c r="C755" s="10">
        <v>177</v>
      </c>
      <c r="D755" s="10">
        <v>17</v>
      </c>
      <c r="E755" s="11" t="s">
        <v>45</v>
      </c>
      <c r="F755" s="11" t="s">
        <v>60</v>
      </c>
      <c r="G755" t="s">
        <v>15</v>
      </c>
      <c r="H755" s="13">
        <v>44141</v>
      </c>
      <c r="I755" s="14" t="s">
        <v>855</v>
      </c>
      <c r="J755" t="s">
        <v>17</v>
      </c>
      <c r="K755" t="s">
        <v>34</v>
      </c>
      <c r="L755" s="12" t="s">
        <v>80</v>
      </c>
    </row>
    <row r="756" spans="1:12" x14ac:dyDescent="0.35">
      <c r="A756" t="s">
        <v>850</v>
      </c>
      <c r="B756" s="10">
        <v>508</v>
      </c>
      <c r="C756" s="10">
        <v>177</v>
      </c>
      <c r="D756" s="10">
        <v>17</v>
      </c>
      <c r="E756" s="11" t="s">
        <v>45</v>
      </c>
      <c r="F756" s="11" t="s">
        <v>60</v>
      </c>
      <c r="G756" t="s">
        <v>15</v>
      </c>
      <c r="H756" s="13">
        <v>45223</v>
      </c>
      <c r="I756" s="14" t="s">
        <v>856</v>
      </c>
      <c r="J756" t="s">
        <v>25</v>
      </c>
      <c r="K756" t="s">
        <v>68</v>
      </c>
      <c r="L756" s="12" t="s">
        <v>442</v>
      </c>
    </row>
    <row r="757" spans="1:12" x14ac:dyDescent="0.35">
      <c r="A757" t="s">
        <v>857</v>
      </c>
      <c r="B757" s="10">
        <v>9382</v>
      </c>
      <c r="C757" s="10">
        <v>1085</v>
      </c>
      <c r="D757" s="10">
        <v>3</v>
      </c>
      <c r="E757" s="11" t="s">
        <v>13</v>
      </c>
      <c r="F757" s="11" t="s">
        <v>28</v>
      </c>
      <c r="G757" t="s">
        <v>32</v>
      </c>
      <c r="H757" s="13">
        <v>45125</v>
      </c>
      <c r="I757" s="14" t="s">
        <v>858</v>
      </c>
      <c r="J757" t="s">
        <v>21</v>
      </c>
      <c r="K757" t="s">
        <v>22</v>
      </c>
      <c r="L757" s="12" t="s">
        <v>105</v>
      </c>
    </row>
    <row r="758" spans="1:12" x14ac:dyDescent="0.35">
      <c r="A758" t="s">
        <v>857</v>
      </c>
      <c r="B758" s="10">
        <v>9382</v>
      </c>
      <c r="C758" s="10">
        <v>1085</v>
      </c>
      <c r="D758" s="10">
        <v>3</v>
      </c>
      <c r="E758" s="11" t="s">
        <v>13</v>
      </c>
      <c r="F758" s="11" t="s">
        <v>28</v>
      </c>
      <c r="G758" t="s">
        <v>32</v>
      </c>
      <c r="H758" s="13">
        <v>44697</v>
      </c>
      <c r="I758" s="14" t="s">
        <v>859</v>
      </c>
      <c r="J758" t="s">
        <v>25</v>
      </c>
      <c r="K758" t="s">
        <v>68</v>
      </c>
      <c r="L758" s="12" t="s">
        <v>180</v>
      </c>
    </row>
    <row r="759" spans="1:12" x14ac:dyDescent="0.35">
      <c r="A759" t="s">
        <v>857</v>
      </c>
      <c r="B759" s="10">
        <v>4936</v>
      </c>
      <c r="C759" s="10">
        <v>576</v>
      </c>
      <c r="D759" s="10">
        <v>19</v>
      </c>
      <c r="E759" s="11" t="s">
        <v>45</v>
      </c>
      <c r="F759" s="11" t="s">
        <v>46</v>
      </c>
      <c r="G759" t="s">
        <v>65</v>
      </c>
      <c r="H759" s="13">
        <v>45125</v>
      </c>
      <c r="I759" s="14" t="s">
        <v>858</v>
      </c>
      <c r="J759" t="s">
        <v>21</v>
      </c>
      <c r="K759" t="s">
        <v>22</v>
      </c>
      <c r="L759" s="12" t="s">
        <v>105</v>
      </c>
    </row>
    <row r="760" spans="1:12" x14ac:dyDescent="0.35">
      <c r="A760" t="s">
        <v>857</v>
      </c>
      <c r="B760" s="10">
        <v>4936</v>
      </c>
      <c r="C760" s="10">
        <v>576</v>
      </c>
      <c r="D760" s="10">
        <v>19</v>
      </c>
      <c r="E760" s="11" t="s">
        <v>45</v>
      </c>
      <c r="F760" s="11" t="s">
        <v>46</v>
      </c>
      <c r="G760" t="s">
        <v>65</v>
      </c>
      <c r="H760" s="13">
        <v>44697</v>
      </c>
      <c r="I760" s="14" t="s">
        <v>859</v>
      </c>
      <c r="J760" t="s">
        <v>25</v>
      </c>
      <c r="K760" t="s">
        <v>68</v>
      </c>
      <c r="L760" s="12" t="s">
        <v>180</v>
      </c>
    </row>
    <row r="761" spans="1:12" x14ac:dyDescent="0.35">
      <c r="A761" t="s">
        <v>860</v>
      </c>
      <c r="B761" s="10">
        <v>2663</v>
      </c>
      <c r="C761" s="10">
        <v>64</v>
      </c>
      <c r="D761" s="10">
        <v>19</v>
      </c>
      <c r="E761" s="11" t="s">
        <v>45</v>
      </c>
      <c r="F761" s="11" t="s">
        <v>60</v>
      </c>
      <c r="G761" t="s">
        <v>65</v>
      </c>
      <c r="H761" s="13">
        <v>45459</v>
      </c>
      <c r="I761" s="14" t="s">
        <v>861</v>
      </c>
      <c r="J761" t="s">
        <v>42</v>
      </c>
      <c r="K761" t="s">
        <v>92</v>
      </c>
      <c r="L761" s="12" t="s">
        <v>262</v>
      </c>
    </row>
    <row r="762" spans="1:12" x14ac:dyDescent="0.35">
      <c r="A762" t="s">
        <v>860</v>
      </c>
      <c r="B762" s="10">
        <v>2663</v>
      </c>
      <c r="C762" s="10">
        <v>64</v>
      </c>
      <c r="D762" s="10">
        <v>19</v>
      </c>
      <c r="E762" s="11" t="s">
        <v>45</v>
      </c>
      <c r="F762" s="11" t="s">
        <v>60</v>
      </c>
      <c r="G762" t="s">
        <v>65</v>
      </c>
      <c r="H762" s="13">
        <v>44492</v>
      </c>
      <c r="I762" s="14" t="s">
        <v>862</v>
      </c>
      <c r="J762" t="s">
        <v>98</v>
      </c>
      <c r="K762" t="s">
        <v>117</v>
      </c>
      <c r="L762" s="12" t="s">
        <v>37</v>
      </c>
    </row>
    <row r="763" spans="1:12" x14ac:dyDescent="0.35">
      <c r="A763" t="s">
        <v>863</v>
      </c>
      <c r="B763" s="10">
        <v>5151</v>
      </c>
      <c r="C763" s="10">
        <v>1680</v>
      </c>
      <c r="D763" s="10">
        <v>5</v>
      </c>
      <c r="E763" s="11" t="s">
        <v>13</v>
      </c>
      <c r="F763" s="11" t="s">
        <v>28</v>
      </c>
      <c r="G763" t="s">
        <v>40</v>
      </c>
      <c r="H763" s="13">
        <v>44856</v>
      </c>
      <c r="I763" s="14" t="s">
        <v>864</v>
      </c>
      <c r="J763" t="s">
        <v>71</v>
      </c>
      <c r="K763" t="s">
        <v>138</v>
      </c>
      <c r="L763" s="12" t="s">
        <v>96</v>
      </c>
    </row>
    <row r="764" spans="1:12" x14ac:dyDescent="0.35">
      <c r="A764" t="s">
        <v>865</v>
      </c>
      <c r="B764" s="10">
        <v>2514</v>
      </c>
      <c r="C764" s="10">
        <v>95</v>
      </c>
      <c r="D764" s="10">
        <v>8</v>
      </c>
      <c r="E764" s="11" t="s">
        <v>30</v>
      </c>
      <c r="F764" s="11" t="s">
        <v>31</v>
      </c>
      <c r="G764" t="s">
        <v>15</v>
      </c>
      <c r="H764" s="13">
        <v>45124</v>
      </c>
      <c r="I764" s="14" t="s">
        <v>866</v>
      </c>
      <c r="J764" t="s">
        <v>25</v>
      </c>
      <c r="K764" t="s">
        <v>68</v>
      </c>
      <c r="L764" s="12" t="s">
        <v>105</v>
      </c>
    </row>
    <row r="765" spans="1:12" x14ac:dyDescent="0.35">
      <c r="A765" t="s">
        <v>867</v>
      </c>
      <c r="B765" s="10">
        <v>6129</v>
      </c>
      <c r="C765" s="10">
        <v>2976</v>
      </c>
      <c r="D765" s="10">
        <v>2</v>
      </c>
      <c r="E765" s="11" t="s">
        <v>13</v>
      </c>
      <c r="F765" s="11" t="s">
        <v>39</v>
      </c>
      <c r="G765" t="s">
        <v>40</v>
      </c>
      <c r="H765" s="13">
        <v>45712</v>
      </c>
      <c r="I765" s="14" t="s">
        <v>868</v>
      </c>
      <c r="J765" t="s">
        <v>25</v>
      </c>
      <c r="K765" t="s">
        <v>51</v>
      </c>
      <c r="L765" s="12" t="s">
        <v>73</v>
      </c>
    </row>
    <row r="766" spans="1:12" x14ac:dyDescent="0.35">
      <c r="A766" t="s">
        <v>867</v>
      </c>
      <c r="B766" s="10">
        <v>4395</v>
      </c>
      <c r="C766" s="10">
        <v>1663</v>
      </c>
      <c r="D766" s="10">
        <v>3</v>
      </c>
      <c r="E766" s="11" t="s">
        <v>45</v>
      </c>
      <c r="F766" s="11" t="s">
        <v>109</v>
      </c>
      <c r="G766" t="s">
        <v>65</v>
      </c>
      <c r="H766" s="13">
        <v>45712</v>
      </c>
      <c r="I766" s="14" t="s">
        <v>868</v>
      </c>
      <c r="J766" t="s">
        <v>25</v>
      </c>
      <c r="K766" t="s">
        <v>51</v>
      </c>
      <c r="L766" s="12" t="s">
        <v>73</v>
      </c>
    </row>
    <row r="767" spans="1:12" x14ac:dyDescent="0.35">
      <c r="A767" t="s">
        <v>869</v>
      </c>
      <c r="B767" s="10">
        <v>5393</v>
      </c>
      <c r="C767" s="10">
        <v>2642</v>
      </c>
      <c r="D767" s="10">
        <v>8</v>
      </c>
      <c r="E767" s="11" t="s">
        <v>45</v>
      </c>
      <c r="F767" s="11" t="s">
        <v>49</v>
      </c>
      <c r="G767" t="s">
        <v>15</v>
      </c>
      <c r="H767" s="13">
        <v>44262</v>
      </c>
      <c r="I767" s="14" t="s">
        <v>870</v>
      </c>
      <c r="J767" t="s">
        <v>98</v>
      </c>
      <c r="K767" t="s">
        <v>107</v>
      </c>
      <c r="L767" s="12" t="s">
        <v>167</v>
      </c>
    </row>
    <row r="768" spans="1:12" x14ac:dyDescent="0.35">
      <c r="A768" t="s">
        <v>871</v>
      </c>
      <c r="B768" s="10">
        <v>2280</v>
      </c>
      <c r="C768" s="10">
        <v>509</v>
      </c>
      <c r="D768" s="10">
        <v>8</v>
      </c>
      <c r="E768" s="11" t="s">
        <v>13</v>
      </c>
      <c r="F768" s="11" t="s">
        <v>82</v>
      </c>
      <c r="G768" t="s">
        <v>47</v>
      </c>
      <c r="H768" s="13">
        <v>44199</v>
      </c>
      <c r="I768" s="14" t="s">
        <v>872</v>
      </c>
      <c r="J768" t="s">
        <v>25</v>
      </c>
      <c r="K768" t="s">
        <v>26</v>
      </c>
      <c r="L768" s="12" t="s">
        <v>276</v>
      </c>
    </row>
    <row r="769" spans="1:12" x14ac:dyDescent="0.35">
      <c r="A769" t="s">
        <v>873</v>
      </c>
      <c r="B769" s="10">
        <v>6596</v>
      </c>
      <c r="C769" s="10">
        <v>1439</v>
      </c>
      <c r="D769" s="10">
        <v>9</v>
      </c>
      <c r="E769" s="11" t="s">
        <v>30</v>
      </c>
      <c r="F769" s="11" t="s">
        <v>64</v>
      </c>
      <c r="G769" t="s">
        <v>32</v>
      </c>
      <c r="H769" s="13">
        <v>45049</v>
      </c>
      <c r="I769" s="14" t="s">
        <v>874</v>
      </c>
      <c r="J769" t="s">
        <v>98</v>
      </c>
      <c r="K769" t="s">
        <v>107</v>
      </c>
      <c r="L769" s="12" t="s">
        <v>127</v>
      </c>
    </row>
    <row r="770" spans="1:12" x14ac:dyDescent="0.35">
      <c r="A770" t="s">
        <v>875</v>
      </c>
      <c r="B770" s="10">
        <v>4510</v>
      </c>
      <c r="C770" s="10">
        <v>1896</v>
      </c>
      <c r="D770" s="10">
        <v>5</v>
      </c>
      <c r="E770" s="11" t="s">
        <v>30</v>
      </c>
      <c r="F770" s="11" t="s">
        <v>64</v>
      </c>
      <c r="G770" t="s">
        <v>40</v>
      </c>
      <c r="H770" s="13">
        <v>45224</v>
      </c>
      <c r="I770" s="14" t="s">
        <v>876</v>
      </c>
      <c r="J770" t="s">
        <v>42</v>
      </c>
      <c r="K770" t="s">
        <v>43</v>
      </c>
      <c r="L770" s="12" t="s">
        <v>442</v>
      </c>
    </row>
    <row r="771" spans="1:12" x14ac:dyDescent="0.35">
      <c r="A771" t="s">
        <v>877</v>
      </c>
      <c r="B771" s="10">
        <v>6077</v>
      </c>
      <c r="C771" s="10">
        <v>2378</v>
      </c>
      <c r="D771" s="10">
        <v>18</v>
      </c>
      <c r="E771" s="11" t="s">
        <v>13</v>
      </c>
      <c r="F771" s="11" t="s">
        <v>82</v>
      </c>
      <c r="G771" t="s">
        <v>65</v>
      </c>
      <c r="H771" s="13">
        <v>44794</v>
      </c>
      <c r="I771" s="14" t="s">
        <v>878</v>
      </c>
      <c r="J771" t="s">
        <v>25</v>
      </c>
      <c r="K771" t="s">
        <v>51</v>
      </c>
      <c r="L771" s="12" t="s">
        <v>209</v>
      </c>
    </row>
    <row r="772" spans="1:12" x14ac:dyDescent="0.35">
      <c r="A772" t="s">
        <v>879</v>
      </c>
      <c r="B772" s="10">
        <v>5379</v>
      </c>
      <c r="C772" s="10">
        <v>2510</v>
      </c>
      <c r="D772" s="10">
        <v>17</v>
      </c>
      <c r="E772" s="11" t="s">
        <v>13</v>
      </c>
      <c r="F772" s="11" t="s">
        <v>28</v>
      </c>
      <c r="G772" t="s">
        <v>65</v>
      </c>
      <c r="H772" s="13">
        <v>44667</v>
      </c>
      <c r="I772" s="14" t="s">
        <v>880</v>
      </c>
      <c r="J772" t="s">
        <v>98</v>
      </c>
      <c r="K772" t="s">
        <v>99</v>
      </c>
      <c r="L772" s="12" t="s">
        <v>187</v>
      </c>
    </row>
    <row r="773" spans="1:12" x14ac:dyDescent="0.35">
      <c r="A773" t="s">
        <v>881</v>
      </c>
      <c r="B773" s="10">
        <v>4629</v>
      </c>
      <c r="C773" s="10">
        <v>1660</v>
      </c>
      <c r="D773" s="10">
        <v>16</v>
      </c>
      <c r="E773" s="11" t="s">
        <v>30</v>
      </c>
      <c r="F773" s="11" t="s">
        <v>57</v>
      </c>
      <c r="G773" t="s">
        <v>40</v>
      </c>
      <c r="H773" s="13">
        <v>45018</v>
      </c>
      <c r="I773" s="14" t="s">
        <v>882</v>
      </c>
      <c r="J773" t="s">
        <v>42</v>
      </c>
      <c r="K773" t="s">
        <v>75</v>
      </c>
      <c r="L773" s="12" t="s">
        <v>145</v>
      </c>
    </row>
    <row r="774" spans="1:12" x14ac:dyDescent="0.35">
      <c r="A774" t="s">
        <v>883</v>
      </c>
      <c r="B774" s="10">
        <v>2710</v>
      </c>
      <c r="C774" s="10">
        <v>555</v>
      </c>
      <c r="D774" s="10">
        <v>20</v>
      </c>
      <c r="E774" s="11" t="s">
        <v>13</v>
      </c>
      <c r="F774" s="11" t="s">
        <v>39</v>
      </c>
      <c r="G774" t="s">
        <v>32</v>
      </c>
      <c r="H774" s="13">
        <v>45586</v>
      </c>
      <c r="I774" s="14" t="s">
        <v>884</v>
      </c>
      <c r="J774" t="s">
        <v>21</v>
      </c>
      <c r="K774" t="s">
        <v>22</v>
      </c>
      <c r="L774" s="12" t="s">
        <v>360</v>
      </c>
    </row>
    <row r="775" spans="1:12" x14ac:dyDescent="0.35">
      <c r="A775" t="s">
        <v>883</v>
      </c>
      <c r="B775" s="10">
        <v>3224</v>
      </c>
      <c r="C775" s="10">
        <v>1018</v>
      </c>
      <c r="D775" s="10">
        <v>14</v>
      </c>
      <c r="E775" s="11" t="s">
        <v>30</v>
      </c>
      <c r="F775" s="11" t="s">
        <v>78</v>
      </c>
      <c r="G775" t="s">
        <v>15</v>
      </c>
      <c r="H775" s="13">
        <v>45586</v>
      </c>
      <c r="I775" s="14" t="s">
        <v>884</v>
      </c>
      <c r="J775" t="s">
        <v>21</v>
      </c>
      <c r="K775" t="s">
        <v>22</v>
      </c>
      <c r="L775" s="12" t="s">
        <v>360</v>
      </c>
    </row>
    <row r="776" spans="1:12" x14ac:dyDescent="0.35">
      <c r="A776" t="s">
        <v>885</v>
      </c>
      <c r="B776" s="10">
        <v>8042</v>
      </c>
      <c r="C776" s="10">
        <v>936</v>
      </c>
      <c r="D776" s="10">
        <v>15</v>
      </c>
      <c r="E776" s="11" t="s">
        <v>30</v>
      </c>
      <c r="F776" s="11" t="s">
        <v>57</v>
      </c>
      <c r="G776" t="s">
        <v>40</v>
      </c>
      <c r="H776" s="13">
        <v>44386</v>
      </c>
      <c r="I776" s="14" t="s">
        <v>886</v>
      </c>
      <c r="J776" t="s">
        <v>21</v>
      </c>
      <c r="K776" t="s">
        <v>63</v>
      </c>
      <c r="L776" s="12" t="s">
        <v>27</v>
      </c>
    </row>
    <row r="777" spans="1:12" x14ac:dyDescent="0.35">
      <c r="A777" t="s">
        <v>885</v>
      </c>
      <c r="B777" s="10">
        <v>8042</v>
      </c>
      <c r="C777" s="10">
        <v>936</v>
      </c>
      <c r="D777" s="10">
        <v>15</v>
      </c>
      <c r="E777" s="11" t="s">
        <v>30</v>
      </c>
      <c r="F777" s="11" t="s">
        <v>57</v>
      </c>
      <c r="G777" t="s">
        <v>40</v>
      </c>
      <c r="H777" s="13">
        <v>44659</v>
      </c>
      <c r="I777" s="14" t="s">
        <v>887</v>
      </c>
      <c r="J777" t="s">
        <v>42</v>
      </c>
      <c r="K777" t="s">
        <v>43</v>
      </c>
      <c r="L777" s="12" t="s">
        <v>187</v>
      </c>
    </row>
    <row r="778" spans="1:12" x14ac:dyDescent="0.35">
      <c r="A778" t="s">
        <v>888</v>
      </c>
      <c r="B778" s="10">
        <v>3957</v>
      </c>
      <c r="C778" s="10">
        <v>151</v>
      </c>
      <c r="D778" s="10">
        <v>10</v>
      </c>
      <c r="E778" s="11" t="s">
        <v>30</v>
      </c>
      <c r="F778" s="11" t="s">
        <v>78</v>
      </c>
      <c r="G778" t="s">
        <v>40</v>
      </c>
      <c r="H778" s="13">
        <v>44681</v>
      </c>
      <c r="I778" s="14" t="s">
        <v>889</v>
      </c>
      <c r="J778" t="s">
        <v>71</v>
      </c>
      <c r="K778" t="s">
        <v>86</v>
      </c>
      <c r="L778" s="12" t="s">
        <v>187</v>
      </c>
    </row>
    <row r="779" spans="1:12" x14ac:dyDescent="0.35">
      <c r="A779" t="s">
        <v>890</v>
      </c>
      <c r="B779" s="10">
        <v>8769</v>
      </c>
      <c r="C779" s="10">
        <v>3178</v>
      </c>
      <c r="D779" s="10">
        <v>16</v>
      </c>
      <c r="E779" s="11" t="s">
        <v>30</v>
      </c>
      <c r="F779" s="11" t="s">
        <v>57</v>
      </c>
      <c r="G779" t="s">
        <v>32</v>
      </c>
      <c r="H779" s="13">
        <v>44946</v>
      </c>
      <c r="I779" s="14" t="s">
        <v>891</v>
      </c>
      <c r="J779" t="s">
        <v>21</v>
      </c>
      <c r="K779" t="s">
        <v>22</v>
      </c>
      <c r="L779" s="12" t="s">
        <v>333</v>
      </c>
    </row>
    <row r="780" spans="1:12" x14ac:dyDescent="0.35">
      <c r="A780" t="s">
        <v>892</v>
      </c>
      <c r="B780" s="10">
        <v>2957</v>
      </c>
      <c r="C780" s="10">
        <v>917</v>
      </c>
      <c r="D780" s="10">
        <v>16</v>
      </c>
      <c r="E780" s="11" t="s">
        <v>30</v>
      </c>
      <c r="F780" s="11" t="s">
        <v>31</v>
      </c>
      <c r="G780" t="s">
        <v>32</v>
      </c>
      <c r="H780" s="13">
        <v>45613</v>
      </c>
      <c r="I780" s="14" t="s">
        <v>893</v>
      </c>
      <c r="J780" t="s">
        <v>21</v>
      </c>
      <c r="K780" t="s">
        <v>22</v>
      </c>
      <c r="L780" s="12" t="s">
        <v>255</v>
      </c>
    </row>
    <row r="781" spans="1:12" x14ac:dyDescent="0.35">
      <c r="A781" t="s">
        <v>894</v>
      </c>
      <c r="B781" s="10">
        <v>5344</v>
      </c>
      <c r="C781" s="10">
        <v>2607</v>
      </c>
      <c r="D781" s="10">
        <v>6</v>
      </c>
      <c r="E781" s="11" t="s">
        <v>30</v>
      </c>
      <c r="F781" s="11" t="s">
        <v>64</v>
      </c>
      <c r="G781" t="s">
        <v>32</v>
      </c>
      <c r="H781" s="13">
        <v>44674</v>
      </c>
      <c r="I781" s="14" t="s">
        <v>895</v>
      </c>
      <c r="J781" t="s">
        <v>71</v>
      </c>
      <c r="K781" t="s">
        <v>72</v>
      </c>
      <c r="L781" s="12" t="s">
        <v>187</v>
      </c>
    </row>
    <row r="782" spans="1:12" x14ac:dyDescent="0.35">
      <c r="A782" t="s">
        <v>894</v>
      </c>
      <c r="B782" s="10">
        <v>5344</v>
      </c>
      <c r="C782" s="10">
        <v>2607</v>
      </c>
      <c r="D782" s="10">
        <v>6</v>
      </c>
      <c r="E782" s="11" t="s">
        <v>30</v>
      </c>
      <c r="F782" s="11" t="s">
        <v>64</v>
      </c>
      <c r="G782" t="s">
        <v>32</v>
      </c>
      <c r="H782" s="13">
        <v>45706</v>
      </c>
      <c r="I782" s="14" t="s">
        <v>896</v>
      </c>
      <c r="J782" t="s">
        <v>25</v>
      </c>
      <c r="K782" t="s">
        <v>68</v>
      </c>
      <c r="L782" s="12" t="s">
        <v>73</v>
      </c>
    </row>
    <row r="783" spans="1:12" x14ac:dyDescent="0.35">
      <c r="A783" t="s">
        <v>897</v>
      </c>
      <c r="B783" s="10">
        <v>6061</v>
      </c>
      <c r="C783" s="10">
        <v>2121</v>
      </c>
      <c r="D783" s="10">
        <v>19</v>
      </c>
      <c r="E783" s="11" t="s">
        <v>13</v>
      </c>
      <c r="F783" s="11" t="s">
        <v>39</v>
      </c>
      <c r="G783" t="s">
        <v>40</v>
      </c>
      <c r="H783" s="13">
        <v>44343</v>
      </c>
      <c r="I783" s="14" t="s">
        <v>898</v>
      </c>
      <c r="J783" t="s">
        <v>98</v>
      </c>
      <c r="K783" t="s">
        <v>117</v>
      </c>
      <c r="L783" s="12" t="s">
        <v>108</v>
      </c>
    </row>
    <row r="784" spans="1:12" x14ac:dyDescent="0.35">
      <c r="A784" t="s">
        <v>897</v>
      </c>
      <c r="B784" s="10">
        <v>6061</v>
      </c>
      <c r="C784" s="10">
        <v>2121</v>
      </c>
      <c r="D784" s="10">
        <v>19</v>
      </c>
      <c r="E784" s="11" t="s">
        <v>13</v>
      </c>
      <c r="F784" s="11" t="s">
        <v>39</v>
      </c>
      <c r="G784" t="s">
        <v>40</v>
      </c>
      <c r="H784" s="13">
        <v>44578</v>
      </c>
      <c r="I784" s="14" t="s">
        <v>899</v>
      </c>
      <c r="J784" t="s">
        <v>42</v>
      </c>
      <c r="K784" t="s">
        <v>75</v>
      </c>
      <c r="L784" s="12" t="s">
        <v>87</v>
      </c>
    </row>
    <row r="785" spans="1:12" x14ac:dyDescent="0.35">
      <c r="A785" t="s">
        <v>900</v>
      </c>
      <c r="B785" s="10">
        <v>5376</v>
      </c>
      <c r="C785" s="10">
        <v>1928</v>
      </c>
      <c r="D785" s="10">
        <v>7</v>
      </c>
      <c r="E785" s="11" t="s">
        <v>45</v>
      </c>
      <c r="F785" s="11" t="s">
        <v>46</v>
      </c>
      <c r="G785" t="s">
        <v>47</v>
      </c>
      <c r="H785" s="13">
        <v>45672</v>
      </c>
      <c r="I785" s="14" t="s">
        <v>901</v>
      </c>
      <c r="J785" t="s">
        <v>25</v>
      </c>
      <c r="K785" t="s">
        <v>51</v>
      </c>
      <c r="L785" s="12" t="s">
        <v>308</v>
      </c>
    </row>
    <row r="786" spans="1:12" x14ac:dyDescent="0.35">
      <c r="A786" t="s">
        <v>902</v>
      </c>
      <c r="B786" s="10">
        <v>2792</v>
      </c>
      <c r="C786" s="10">
        <v>1008</v>
      </c>
      <c r="D786" s="10">
        <v>8</v>
      </c>
      <c r="E786" s="11" t="s">
        <v>13</v>
      </c>
      <c r="F786" s="11" t="s">
        <v>28</v>
      </c>
      <c r="G786" t="s">
        <v>65</v>
      </c>
      <c r="H786" s="13">
        <v>44241</v>
      </c>
      <c r="I786" s="14" t="s">
        <v>903</v>
      </c>
      <c r="J786" t="s">
        <v>17</v>
      </c>
      <c r="K786" t="s">
        <v>18</v>
      </c>
      <c r="L786" s="12" t="s">
        <v>292</v>
      </c>
    </row>
    <row r="787" spans="1:12" x14ac:dyDescent="0.35">
      <c r="A787" t="s">
        <v>904</v>
      </c>
      <c r="B787" s="10">
        <v>2944</v>
      </c>
      <c r="C787" s="10">
        <v>249</v>
      </c>
      <c r="D787" s="10">
        <v>5</v>
      </c>
      <c r="E787" s="11" t="s">
        <v>30</v>
      </c>
      <c r="F787" s="11" t="s">
        <v>78</v>
      </c>
      <c r="G787" t="s">
        <v>47</v>
      </c>
      <c r="H787" s="13">
        <v>45535</v>
      </c>
      <c r="I787" s="14" t="s">
        <v>905</v>
      </c>
      <c r="J787" t="s">
        <v>98</v>
      </c>
      <c r="K787" t="s">
        <v>99</v>
      </c>
      <c r="L787" s="12" t="s">
        <v>114</v>
      </c>
    </row>
    <row r="788" spans="1:12" x14ac:dyDescent="0.35">
      <c r="A788" t="s">
        <v>904</v>
      </c>
      <c r="B788" s="10">
        <v>2944</v>
      </c>
      <c r="C788" s="10">
        <v>249</v>
      </c>
      <c r="D788" s="10">
        <v>5</v>
      </c>
      <c r="E788" s="11" t="s">
        <v>30</v>
      </c>
      <c r="F788" s="11" t="s">
        <v>78</v>
      </c>
      <c r="G788" t="s">
        <v>47</v>
      </c>
      <c r="H788" s="13">
        <v>44921</v>
      </c>
      <c r="I788" s="14" t="s">
        <v>906</v>
      </c>
      <c r="J788" t="s">
        <v>71</v>
      </c>
      <c r="K788" t="s">
        <v>72</v>
      </c>
      <c r="L788" s="12" t="s">
        <v>152</v>
      </c>
    </row>
    <row r="789" spans="1:12" x14ac:dyDescent="0.35">
      <c r="A789" t="s">
        <v>907</v>
      </c>
      <c r="B789" s="10">
        <v>4220</v>
      </c>
      <c r="C789" s="10">
        <v>945</v>
      </c>
      <c r="D789" s="10">
        <v>13</v>
      </c>
      <c r="E789" s="11" t="s">
        <v>30</v>
      </c>
      <c r="F789" s="11" t="s">
        <v>57</v>
      </c>
      <c r="G789" t="s">
        <v>40</v>
      </c>
      <c r="H789" s="13">
        <v>45372</v>
      </c>
      <c r="I789" s="14" t="s">
        <v>908</v>
      </c>
      <c r="J789" t="s">
        <v>21</v>
      </c>
      <c r="K789" t="s">
        <v>63</v>
      </c>
      <c r="L789" s="12" t="s">
        <v>338</v>
      </c>
    </row>
    <row r="790" spans="1:12" x14ac:dyDescent="0.35">
      <c r="A790" t="s">
        <v>907</v>
      </c>
      <c r="B790" s="10">
        <v>4220</v>
      </c>
      <c r="C790" s="10">
        <v>945</v>
      </c>
      <c r="D790" s="10">
        <v>13</v>
      </c>
      <c r="E790" s="11" t="s">
        <v>30</v>
      </c>
      <c r="F790" s="11" t="s">
        <v>57</v>
      </c>
      <c r="G790" t="s">
        <v>40</v>
      </c>
      <c r="H790" s="13">
        <v>44180</v>
      </c>
      <c r="I790" s="14" t="s">
        <v>909</v>
      </c>
      <c r="J790" t="s">
        <v>21</v>
      </c>
      <c r="K790" t="s">
        <v>172</v>
      </c>
      <c r="L790" s="12" t="s">
        <v>287</v>
      </c>
    </row>
    <row r="791" spans="1:12" x14ac:dyDescent="0.35">
      <c r="A791" t="s">
        <v>910</v>
      </c>
      <c r="B791" s="10">
        <v>8526</v>
      </c>
      <c r="C791" s="10">
        <v>1704</v>
      </c>
      <c r="D791" s="10">
        <v>4</v>
      </c>
      <c r="E791" s="11" t="s">
        <v>30</v>
      </c>
      <c r="F791" s="11" t="s">
        <v>78</v>
      </c>
      <c r="G791" t="s">
        <v>32</v>
      </c>
      <c r="H791" s="13">
        <v>45006</v>
      </c>
      <c r="I791" s="14" t="s">
        <v>911</v>
      </c>
      <c r="J791" t="s">
        <v>71</v>
      </c>
      <c r="K791" t="s">
        <v>86</v>
      </c>
      <c r="L791" s="12" t="s">
        <v>245</v>
      </c>
    </row>
    <row r="792" spans="1:12" x14ac:dyDescent="0.35">
      <c r="A792" t="s">
        <v>912</v>
      </c>
      <c r="B792" s="10">
        <v>8218</v>
      </c>
      <c r="C792" s="10">
        <v>1430</v>
      </c>
      <c r="D792" s="10">
        <v>19</v>
      </c>
      <c r="E792" s="11" t="s">
        <v>45</v>
      </c>
      <c r="F792" s="11" t="s">
        <v>109</v>
      </c>
      <c r="G792" t="s">
        <v>47</v>
      </c>
      <c r="H792" s="13">
        <v>45085</v>
      </c>
      <c r="I792" s="14" t="s">
        <v>913</v>
      </c>
      <c r="J792" t="s">
        <v>42</v>
      </c>
      <c r="K792" t="s">
        <v>92</v>
      </c>
      <c r="L792" s="12" t="s">
        <v>19</v>
      </c>
    </row>
    <row r="793" spans="1:12" x14ac:dyDescent="0.35">
      <c r="A793" t="s">
        <v>914</v>
      </c>
      <c r="B793" s="10">
        <v>599</v>
      </c>
      <c r="C793" s="10">
        <v>265</v>
      </c>
      <c r="D793" s="10">
        <v>4</v>
      </c>
      <c r="E793" s="11" t="s">
        <v>13</v>
      </c>
      <c r="F793" s="11" t="s">
        <v>82</v>
      </c>
      <c r="G793" t="s">
        <v>47</v>
      </c>
      <c r="H793" s="13">
        <v>44759</v>
      </c>
      <c r="I793" s="14" t="s">
        <v>915</v>
      </c>
      <c r="J793" t="s">
        <v>25</v>
      </c>
      <c r="K793" t="s">
        <v>26</v>
      </c>
      <c r="L793" s="12" t="s">
        <v>418</v>
      </c>
    </row>
    <row r="794" spans="1:12" x14ac:dyDescent="0.35">
      <c r="A794" t="s">
        <v>914</v>
      </c>
      <c r="B794" s="10">
        <v>599</v>
      </c>
      <c r="C794" s="10">
        <v>265</v>
      </c>
      <c r="D794" s="10">
        <v>4</v>
      </c>
      <c r="E794" s="11" t="s">
        <v>13</v>
      </c>
      <c r="F794" s="11" t="s">
        <v>82</v>
      </c>
      <c r="G794" t="s">
        <v>47</v>
      </c>
      <c r="H794" s="13">
        <v>45631</v>
      </c>
      <c r="I794" s="14" t="s">
        <v>916</v>
      </c>
      <c r="J794" t="s">
        <v>25</v>
      </c>
      <c r="K794" t="s">
        <v>68</v>
      </c>
      <c r="L794" s="12" t="s">
        <v>23</v>
      </c>
    </row>
    <row r="795" spans="1:12" x14ac:dyDescent="0.35">
      <c r="A795" t="s">
        <v>914</v>
      </c>
      <c r="B795" s="10">
        <v>2727</v>
      </c>
      <c r="C795" s="10">
        <v>543</v>
      </c>
      <c r="D795" s="10">
        <v>10</v>
      </c>
      <c r="E795" s="11" t="s">
        <v>45</v>
      </c>
      <c r="F795" s="11" t="s">
        <v>109</v>
      </c>
      <c r="G795" t="s">
        <v>47</v>
      </c>
      <c r="H795" s="13">
        <v>44759</v>
      </c>
      <c r="I795" s="14" t="s">
        <v>915</v>
      </c>
      <c r="J795" t="s">
        <v>25</v>
      </c>
      <c r="K795" t="s">
        <v>26</v>
      </c>
      <c r="L795" s="12" t="s">
        <v>418</v>
      </c>
    </row>
    <row r="796" spans="1:12" x14ac:dyDescent="0.35">
      <c r="A796" t="s">
        <v>914</v>
      </c>
      <c r="B796" s="10">
        <v>2727</v>
      </c>
      <c r="C796" s="10">
        <v>543</v>
      </c>
      <c r="D796" s="10">
        <v>10</v>
      </c>
      <c r="E796" s="11" t="s">
        <v>45</v>
      </c>
      <c r="F796" s="11" t="s">
        <v>109</v>
      </c>
      <c r="G796" t="s">
        <v>47</v>
      </c>
      <c r="H796" s="13">
        <v>45631</v>
      </c>
      <c r="I796" s="14" t="s">
        <v>916</v>
      </c>
      <c r="J796" t="s">
        <v>25</v>
      </c>
      <c r="K796" t="s">
        <v>68</v>
      </c>
      <c r="L796" s="12" t="s">
        <v>23</v>
      </c>
    </row>
    <row r="797" spans="1:12" x14ac:dyDescent="0.35">
      <c r="A797" t="s">
        <v>917</v>
      </c>
      <c r="B797" s="10">
        <v>2589</v>
      </c>
      <c r="C797" s="10">
        <v>605</v>
      </c>
      <c r="D797" s="10">
        <v>11</v>
      </c>
      <c r="E797" s="11" t="s">
        <v>30</v>
      </c>
      <c r="F797" s="11" t="s">
        <v>31</v>
      </c>
      <c r="G797" t="s">
        <v>40</v>
      </c>
      <c r="H797" s="13">
        <v>45232</v>
      </c>
      <c r="I797" s="14" t="s">
        <v>918</v>
      </c>
      <c r="J797" t="s">
        <v>42</v>
      </c>
      <c r="K797" t="s">
        <v>92</v>
      </c>
      <c r="L797" s="12" t="s">
        <v>52</v>
      </c>
    </row>
    <row r="798" spans="1:12" x14ac:dyDescent="0.35">
      <c r="A798" t="s">
        <v>917</v>
      </c>
      <c r="B798" s="10">
        <v>2589</v>
      </c>
      <c r="C798" s="10">
        <v>605</v>
      </c>
      <c r="D798" s="10">
        <v>11</v>
      </c>
      <c r="E798" s="11" t="s">
        <v>30</v>
      </c>
      <c r="F798" s="11" t="s">
        <v>31</v>
      </c>
      <c r="G798" t="s">
        <v>40</v>
      </c>
      <c r="H798" s="13">
        <v>45570</v>
      </c>
      <c r="I798" s="14" t="s">
        <v>919</v>
      </c>
      <c r="J798" t="s">
        <v>98</v>
      </c>
      <c r="K798" t="s">
        <v>117</v>
      </c>
      <c r="L798" s="12" t="s">
        <v>360</v>
      </c>
    </row>
    <row r="799" spans="1:12" x14ac:dyDescent="0.35">
      <c r="A799" t="s">
        <v>920</v>
      </c>
      <c r="B799" s="10">
        <v>3776</v>
      </c>
      <c r="C799" s="10">
        <v>1100</v>
      </c>
      <c r="D799" s="10">
        <v>9</v>
      </c>
      <c r="E799" s="11" t="s">
        <v>13</v>
      </c>
      <c r="F799" s="11" t="s">
        <v>14</v>
      </c>
      <c r="G799" t="s">
        <v>40</v>
      </c>
      <c r="H799" s="13">
        <v>44878</v>
      </c>
      <c r="I799" s="14" t="s">
        <v>921</v>
      </c>
      <c r="J799" t="s">
        <v>71</v>
      </c>
      <c r="K799" t="s">
        <v>86</v>
      </c>
      <c r="L799" s="12" t="s">
        <v>44</v>
      </c>
    </row>
    <row r="800" spans="1:12" x14ac:dyDescent="0.35">
      <c r="A800" t="s">
        <v>920</v>
      </c>
      <c r="B800" s="10">
        <v>3776</v>
      </c>
      <c r="C800" s="10">
        <v>1100</v>
      </c>
      <c r="D800" s="10">
        <v>9</v>
      </c>
      <c r="E800" s="11" t="s">
        <v>13</v>
      </c>
      <c r="F800" s="11" t="s">
        <v>14</v>
      </c>
      <c r="G800" t="s">
        <v>40</v>
      </c>
      <c r="H800" s="13">
        <v>44923</v>
      </c>
      <c r="I800" s="14" t="s">
        <v>922</v>
      </c>
      <c r="J800" t="s">
        <v>21</v>
      </c>
      <c r="K800" t="s">
        <v>172</v>
      </c>
      <c r="L800" s="12" t="s">
        <v>152</v>
      </c>
    </row>
    <row r="801" spans="1:12" x14ac:dyDescent="0.35">
      <c r="A801" t="s">
        <v>923</v>
      </c>
      <c r="B801" s="10">
        <v>5402</v>
      </c>
      <c r="C801" s="10">
        <v>1666</v>
      </c>
      <c r="D801" s="10">
        <v>12</v>
      </c>
      <c r="E801" s="11" t="s">
        <v>45</v>
      </c>
      <c r="F801" s="11" t="s">
        <v>109</v>
      </c>
      <c r="G801" t="s">
        <v>40</v>
      </c>
      <c r="H801" s="13">
        <v>45714</v>
      </c>
      <c r="I801" s="14" t="s">
        <v>924</v>
      </c>
      <c r="J801" t="s">
        <v>98</v>
      </c>
      <c r="K801" t="s">
        <v>117</v>
      </c>
      <c r="L801" s="12" t="s">
        <v>73</v>
      </c>
    </row>
    <row r="802" spans="1:12" x14ac:dyDescent="0.35">
      <c r="A802" t="s">
        <v>925</v>
      </c>
      <c r="B802" s="10">
        <v>5165</v>
      </c>
      <c r="C802" s="10">
        <v>885</v>
      </c>
      <c r="D802" s="10">
        <v>16</v>
      </c>
      <c r="E802" s="11" t="s">
        <v>30</v>
      </c>
      <c r="F802" s="11" t="s">
        <v>31</v>
      </c>
      <c r="G802" t="s">
        <v>40</v>
      </c>
      <c r="H802" s="13">
        <v>44877</v>
      </c>
      <c r="I802" s="14" t="s">
        <v>926</v>
      </c>
      <c r="J802" t="s">
        <v>21</v>
      </c>
      <c r="K802" t="s">
        <v>172</v>
      </c>
      <c r="L802" s="12" t="s">
        <v>44</v>
      </c>
    </row>
    <row r="803" spans="1:12" x14ac:dyDescent="0.35">
      <c r="A803" t="s">
        <v>925</v>
      </c>
      <c r="B803" s="10">
        <v>4863</v>
      </c>
      <c r="C803" s="10">
        <v>2394</v>
      </c>
      <c r="D803" s="10">
        <v>4</v>
      </c>
      <c r="E803" s="11" t="s">
        <v>45</v>
      </c>
      <c r="F803" s="11" t="s">
        <v>109</v>
      </c>
      <c r="G803" t="s">
        <v>40</v>
      </c>
      <c r="H803" s="13">
        <v>44877</v>
      </c>
      <c r="I803" s="14" t="s">
        <v>926</v>
      </c>
      <c r="J803" t="s">
        <v>21</v>
      </c>
      <c r="K803" t="s">
        <v>172</v>
      </c>
      <c r="L803" s="12" t="s">
        <v>44</v>
      </c>
    </row>
    <row r="804" spans="1:12" x14ac:dyDescent="0.35">
      <c r="A804" t="s">
        <v>927</v>
      </c>
      <c r="B804" s="10">
        <v>1626</v>
      </c>
      <c r="C804" s="10">
        <v>258</v>
      </c>
      <c r="D804" s="10">
        <v>15</v>
      </c>
      <c r="E804" s="11" t="s">
        <v>30</v>
      </c>
      <c r="F804" s="11" t="s">
        <v>31</v>
      </c>
      <c r="G804" t="s">
        <v>40</v>
      </c>
      <c r="H804" s="13">
        <v>44354</v>
      </c>
      <c r="I804" s="14" t="s">
        <v>928</v>
      </c>
      <c r="J804" t="s">
        <v>17</v>
      </c>
      <c r="K804" t="s">
        <v>34</v>
      </c>
      <c r="L804" s="12" t="s">
        <v>125</v>
      </c>
    </row>
    <row r="805" spans="1:12" x14ac:dyDescent="0.35">
      <c r="A805" t="s">
        <v>929</v>
      </c>
      <c r="B805" s="10">
        <v>8851</v>
      </c>
      <c r="C805" s="10">
        <v>3962</v>
      </c>
      <c r="D805" s="10">
        <v>7</v>
      </c>
      <c r="E805" s="11" t="s">
        <v>45</v>
      </c>
      <c r="F805" s="11" t="s">
        <v>46</v>
      </c>
      <c r="G805" t="s">
        <v>40</v>
      </c>
      <c r="H805" s="13">
        <v>44100</v>
      </c>
      <c r="I805" s="14" t="s">
        <v>930</v>
      </c>
      <c r="J805" t="s">
        <v>17</v>
      </c>
      <c r="K805" t="s">
        <v>18</v>
      </c>
      <c r="L805" s="12" t="s">
        <v>389</v>
      </c>
    </row>
    <row r="806" spans="1:12" x14ac:dyDescent="0.35">
      <c r="A806" t="s">
        <v>931</v>
      </c>
      <c r="B806" s="10">
        <v>9680</v>
      </c>
      <c r="C806" s="10">
        <v>3295</v>
      </c>
      <c r="D806" s="10">
        <v>9</v>
      </c>
      <c r="E806" s="11" t="s">
        <v>45</v>
      </c>
      <c r="F806" s="11" t="s">
        <v>46</v>
      </c>
      <c r="G806" t="s">
        <v>65</v>
      </c>
      <c r="H806" s="13">
        <v>45411</v>
      </c>
      <c r="I806" s="14" t="s">
        <v>932</v>
      </c>
      <c r="J806" t="s">
        <v>25</v>
      </c>
      <c r="K806" t="s">
        <v>68</v>
      </c>
      <c r="L806" s="12" t="s">
        <v>235</v>
      </c>
    </row>
    <row r="807" spans="1:12" x14ac:dyDescent="0.35">
      <c r="A807" t="s">
        <v>931</v>
      </c>
      <c r="B807" s="10">
        <v>8468</v>
      </c>
      <c r="C807" s="10">
        <v>3666</v>
      </c>
      <c r="D807" s="10">
        <v>8</v>
      </c>
      <c r="E807" s="11" t="s">
        <v>30</v>
      </c>
      <c r="F807" s="11" t="s">
        <v>31</v>
      </c>
      <c r="G807" t="s">
        <v>15</v>
      </c>
      <c r="H807" s="13">
        <v>45411</v>
      </c>
      <c r="I807" s="14" t="s">
        <v>932</v>
      </c>
      <c r="J807" t="s">
        <v>25</v>
      </c>
      <c r="K807" t="s">
        <v>68</v>
      </c>
      <c r="L807" s="12" t="s">
        <v>235</v>
      </c>
    </row>
    <row r="808" spans="1:12" x14ac:dyDescent="0.35">
      <c r="A808" t="s">
        <v>931</v>
      </c>
      <c r="B808" s="10">
        <v>4441</v>
      </c>
      <c r="C808" s="10">
        <v>314</v>
      </c>
      <c r="D808" s="10">
        <v>14</v>
      </c>
      <c r="E808" s="11" t="s">
        <v>45</v>
      </c>
      <c r="F808" s="11" t="s">
        <v>49</v>
      </c>
      <c r="G808" t="s">
        <v>32</v>
      </c>
      <c r="H808" s="13">
        <v>45411</v>
      </c>
      <c r="I808" s="14" t="s">
        <v>932</v>
      </c>
      <c r="J808" t="s">
        <v>25</v>
      </c>
      <c r="K808" t="s">
        <v>68</v>
      </c>
      <c r="L808" s="12" t="s">
        <v>235</v>
      </c>
    </row>
    <row r="809" spans="1:12" x14ac:dyDescent="0.35">
      <c r="A809" t="s">
        <v>933</v>
      </c>
      <c r="B809" s="10">
        <v>6622</v>
      </c>
      <c r="C809" s="10">
        <v>2673</v>
      </c>
      <c r="D809" s="10">
        <v>8</v>
      </c>
      <c r="E809" s="11" t="s">
        <v>45</v>
      </c>
      <c r="F809" s="11" t="s">
        <v>60</v>
      </c>
      <c r="G809" t="s">
        <v>65</v>
      </c>
      <c r="H809" s="13">
        <v>45392</v>
      </c>
      <c r="I809" s="14" t="s">
        <v>934</v>
      </c>
      <c r="J809" t="s">
        <v>25</v>
      </c>
      <c r="K809" t="s">
        <v>51</v>
      </c>
      <c r="L809" s="12" t="s">
        <v>235</v>
      </c>
    </row>
    <row r="810" spans="1:12" x14ac:dyDescent="0.35">
      <c r="A810" t="s">
        <v>935</v>
      </c>
      <c r="B810" s="10">
        <v>3260</v>
      </c>
      <c r="C810" s="10">
        <v>207</v>
      </c>
      <c r="D810" s="10">
        <v>17</v>
      </c>
      <c r="E810" s="11" t="s">
        <v>45</v>
      </c>
      <c r="F810" s="11" t="s">
        <v>46</v>
      </c>
      <c r="G810" t="s">
        <v>15</v>
      </c>
      <c r="H810" s="13">
        <v>45281</v>
      </c>
      <c r="I810" s="14" t="s">
        <v>936</v>
      </c>
      <c r="J810" t="s">
        <v>42</v>
      </c>
      <c r="K810" t="s">
        <v>75</v>
      </c>
      <c r="L810" s="12" t="s">
        <v>102</v>
      </c>
    </row>
    <row r="811" spans="1:12" x14ac:dyDescent="0.35">
      <c r="A811" t="s">
        <v>937</v>
      </c>
      <c r="B811" s="10">
        <v>8709</v>
      </c>
      <c r="C811" s="10">
        <v>2322</v>
      </c>
      <c r="D811" s="10">
        <v>8</v>
      </c>
      <c r="E811" s="11" t="s">
        <v>45</v>
      </c>
      <c r="F811" s="11" t="s">
        <v>46</v>
      </c>
      <c r="G811" t="s">
        <v>32</v>
      </c>
      <c r="H811" s="13">
        <v>45414</v>
      </c>
      <c r="I811" s="14" t="s">
        <v>938</v>
      </c>
      <c r="J811" t="s">
        <v>71</v>
      </c>
      <c r="K811" t="s">
        <v>86</v>
      </c>
      <c r="L811" s="12" t="s">
        <v>35</v>
      </c>
    </row>
    <row r="812" spans="1:12" x14ac:dyDescent="0.35">
      <c r="A812" t="s">
        <v>937</v>
      </c>
      <c r="B812" s="10">
        <v>8709</v>
      </c>
      <c r="C812" s="10">
        <v>2322</v>
      </c>
      <c r="D812" s="10">
        <v>8</v>
      </c>
      <c r="E812" s="11" t="s">
        <v>45</v>
      </c>
      <c r="F812" s="11" t="s">
        <v>46</v>
      </c>
      <c r="G812" t="s">
        <v>32</v>
      </c>
      <c r="H812" s="13">
        <v>45617</v>
      </c>
      <c r="I812" s="14" t="s">
        <v>939</v>
      </c>
      <c r="J812" t="s">
        <v>42</v>
      </c>
      <c r="K812" t="s">
        <v>92</v>
      </c>
      <c r="L812" s="12" t="s">
        <v>255</v>
      </c>
    </row>
    <row r="813" spans="1:12" x14ac:dyDescent="0.35">
      <c r="A813" t="s">
        <v>940</v>
      </c>
      <c r="B813" s="10">
        <v>5250</v>
      </c>
      <c r="C813" s="10">
        <v>187</v>
      </c>
      <c r="D813" s="10">
        <v>1</v>
      </c>
      <c r="E813" s="11" t="s">
        <v>30</v>
      </c>
      <c r="F813" s="11" t="s">
        <v>78</v>
      </c>
      <c r="G813" t="s">
        <v>65</v>
      </c>
      <c r="H813" s="13">
        <v>44637</v>
      </c>
      <c r="I813" s="14" t="s">
        <v>941</v>
      </c>
      <c r="J813" t="s">
        <v>98</v>
      </c>
      <c r="K813" t="s">
        <v>107</v>
      </c>
      <c r="L813" s="12" t="s">
        <v>134</v>
      </c>
    </row>
    <row r="814" spans="1:12" x14ac:dyDescent="0.35">
      <c r="A814" t="s">
        <v>940</v>
      </c>
      <c r="B814" s="10">
        <v>5250</v>
      </c>
      <c r="C814" s="10">
        <v>187</v>
      </c>
      <c r="D814" s="10">
        <v>1</v>
      </c>
      <c r="E814" s="11" t="s">
        <v>30</v>
      </c>
      <c r="F814" s="11" t="s">
        <v>78</v>
      </c>
      <c r="G814" t="s">
        <v>65</v>
      </c>
      <c r="H814" s="13">
        <v>45060</v>
      </c>
      <c r="I814" s="14" t="s">
        <v>942</v>
      </c>
      <c r="J814" t="s">
        <v>71</v>
      </c>
      <c r="K814" t="s">
        <v>138</v>
      </c>
      <c r="L814" s="12" t="s">
        <v>127</v>
      </c>
    </row>
    <row r="815" spans="1:12" x14ac:dyDescent="0.35">
      <c r="A815" t="s">
        <v>943</v>
      </c>
      <c r="B815" s="10">
        <v>4116</v>
      </c>
      <c r="C815" s="10">
        <v>921</v>
      </c>
      <c r="D815" s="10">
        <v>20</v>
      </c>
      <c r="E815" s="11" t="s">
        <v>30</v>
      </c>
      <c r="F815" s="11" t="s">
        <v>64</v>
      </c>
      <c r="G815" t="s">
        <v>15</v>
      </c>
      <c r="H815" s="13">
        <v>45572</v>
      </c>
      <c r="I815" s="14" t="s">
        <v>944</v>
      </c>
      <c r="J815" t="s">
        <v>42</v>
      </c>
      <c r="K815" t="s">
        <v>43</v>
      </c>
      <c r="L815" s="12" t="s">
        <v>360</v>
      </c>
    </row>
    <row r="816" spans="1:12" x14ac:dyDescent="0.35">
      <c r="A816" t="s">
        <v>943</v>
      </c>
      <c r="B816" s="10">
        <v>4116</v>
      </c>
      <c r="C816" s="10">
        <v>921</v>
      </c>
      <c r="D816" s="10">
        <v>20</v>
      </c>
      <c r="E816" s="11" t="s">
        <v>30</v>
      </c>
      <c r="F816" s="11" t="s">
        <v>64</v>
      </c>
      <c r="G816" t="s">
        <v>15</v>
      </c>
      <c r="H816" s="13">
        <v>44082</v>
      </c>
      <c r="I816" s="14" t="s">
        <v>945</v>
      </c>
      <c r="J816" t="s">
        <v>21</v>
      </c>
      <c r="K816" t="s">
        <v>63</v>
      </c>
      <c r="L816" s="12" t="s">
        <v>389</v>
      </c>
    </row>
    <row r="817" spans="1:12" x14ac:dyDescent="0.35">
      <c r="A817" t="s">
        <v>946</v>
      </c>
      <c r="B817" s="10">
        <v>1109</v>
      </c>
      <c r="C817" s="10">
        <v>418</v>
      </c>
      <c r="D817" s="10">
        <v>15</v>
      </c>
      <c r="E817" s="11" t="s">
        <v>30</v>
      </c>
      <c r="F817" s="11" t="s">
        <v>64</v>
      </c>
      <c r="G817" t="s">
        <v>15</v>
      </c>
      <c r="H817" s="13">
        <v>44427</v>
      </c>
      <c r="I817" s="14" t="s">
        <v>947</v>
      </c>
      <c r="J817" t="s">
        <v>42</v>
      </c>
      <c r="K817" t="s">
        <v>43</v>
      </c>
      <c r="L817" s="12" t="s">
        <v>178</v>
      </c>
    </row>
    <row r="818" spans="1:12" x14ac:dyDescent="0.35">
      <c r="A818" t="s">
        <v>948</v>
      </c>
      <c r="B818" s="10">
        <v>3573</v>
      </c>
      <c r="C818" s="10">
        <v>562</v>
      </c>
      <c r="D818" s="10">
        <v>7</v>
      </c>
      <c r="E818" s="11" t="s">
        <v>30</v>
      </c>
      <c r="F818" s="11" t="s">
        <v>31</v>
      </c>
      <c r="G818" t="s">
        <v>40</v>
      </c>
      <c r="H818" s="13">
        <v>44846</v>
      </c>
      <c r="I818" s="14" t="s">
        <v>454</v>
      </c>
      <c r="J818" t="s">
        <v>25</v>
      </c>
      <c r="K818" t="s">
        <v>68</v>
      </c>
      <c r="L818" s="12" t="s">
        <v>96</v>
      </c>
    </row>
    <row r="819" spans="1:12" x14ac:dyDescent="0.35">
      <c r="A819" t="s">
        <v>948</v>
      </c>
      <c r="B819" s="10">
        <v>3573</v>
      </c>
      <c r="C819" s="10">
        <v>562</v>
      </c>
      <c r="D819" s="10">
        <v>7</v>
      </c>
      <c r="E819" s="11" t="s">
        <v>30</v>
      </c>
      <c r="F819" s="11" t="s">
        <v>31</v>
      </c>
      <c r="G819" t="s">
        <v>40</v>
      </c>
      <c r="H819" s="13">
        <v>43974</v>
      </c>
      <c r="I819" s="14" t="s">
        <v>949</v>
      </c>
      <c r="J819" t="s">
        <v>42</v>
      </c>
      <c r="K819" t="s">
        <v>75</v>
      </c>
      <c r="L819" s="12" t="s">
        <v>59</v>
      </c>
    </row>
    <row r="820" spans="1:12" x14ac:dyDescent="0.35">
      <c r="A820" t="s">
        <v>948</v>
      </c>
      <c r="B820" s="10">
        <v>3573</v>
      </c>
      <c r="C820" s="10">
        <v>562</v>
      </c>
      <c r="D820" s="10">
        <v>7</v>
      </c>
      <c r="E820" s="11" t="s">
        <v>30</v>
      </c>
      <c r="F820" s="11" t="s">
        <v>31</v>
      </c>
      <c r="G820" t="s">
        <v>40</v>
      </c>
      <c r="H820" s="13">
        <v>43939</v>
      </c>
      <c r="I820" s="14" t="s">
        <v>950</v>
      </c>
      <c r="J820" t="s">
        <v>17</v>
      </c>
      <c r="K820" t="s">
        <v>150</v>
      </c>
      <c r="L820" s="12" t="s">
        <v>162</v>
      </c>
    </row>
    <row r="821" spans="1:12" x14ac:dyDescent="0.35">
      <c r="A821" t="s">
        <v>948</v>
      </c>
      <c r="B821" s="10">
        <v>8055</v>
      </c>
      <c r="C821" s="10">
        <v>661</v>
      </c>
      <c r="D821" s="10">
        <v>10</v>
      </c>
      <c r="E821" s="11" t="s">
        <v>13</v>
      </c>
      <c r="F821" s="11" t="s">
        <v>82</v>
      </c>
      <c r="G821" t="s">
        <v>40</v>
      </c>
      <c r="H821" s="13">
        <v>44846</v>
      </c>
      <c r="I821" s="14" t="s">
        <v>454</v>
      </c>
      <c r="J821" t="s">
        <v>25</v>
      </c>
      <c r="K821" t="s">
        <v>68</v>
      </c>
      <c r="L821" s="12" t="s">
        <v>96</v>
      </c>
    </row>
    <row r="822" spans="1:12" x14ac:dyDescent="0.35">
      <c r="A822" t="s">
        <v>948</v>
      </c>
      <c r="B822" s="10">
        <v>8055</v>
      </c>
      <c r="C822" s="10">
        <v>661</v>
      </c>
      <c r="D822" s="10">
        <v>10</v>
      </c>
      <c r="E822" s="11" t="s">
        <v>13</v>
      </c>
      <c r="F822" s="11" t="s">
        <v>82</v>
      </c>
      <c r="G822" t="s">
        <v>40</v>
      </c>
      <c r="H822" s="13">
        <v>43974</v>
      </c>
      <c r="I822" s="14" t="s">
        <v>949</v>
      </c>
      <c r="J822" t="s">
        <v>42</v>
      </c>
      <c r="K822" t="s">
        <v>75</v>
      </c>
      <c r="L822" s="12" t="s">
        <v>59</v>
      </c>
    </row>
    <row r="823" spans="1:12" x14ac:dyDescent="0.35">
      <c r="A823" t="s">
        <v>948</v>
      </c>
      <c r="B823" s="10">
        <v>8055</v>
      </c>
      <c r="C823" s="10">
        <v>661</v>
      </c>
      <c r="D823" s="10">
        <v>10</v>
      </c>
      <c r="E823" s="11" t="s">
        <v>13</v>
      </c>
      <c r="F823" s="11" t="s">
        <v>82</v>
      </c>
      <c r="G823" t="s">
        <v>40</v>
      </c>
      <c r="H823" s="13">
        <v>43939</v>
      </c>
      <c r="I823" s="14" t="s">
        <v>950</v>
      </c>
      <c r="J823" t="s">
        <v>17</v>
      </c>
      <c r="K823" t="s">
        <v>150</v>
      </c>
      <c r="L823" s="12" t="s">
        <v>162</v>
      </c>
    </row>
    <row r="824" spans="1:12" x14ac:dyDescent="0.35">
      <c r="A824" t="s">
        <v>951</v>
      </c>
      <c r="B824" s="10">
        <v>6829</v>
      </c>
      <c r="C824" s="10">
        <v>2609</v>
      </c>
      <c r="D824" s="10">
        <v>2</v>
      </c>
      <c r="E824" s="11" t="s">
        <v>13</v>
      </c>
      <c r="F824" s="11" t="s">
        <v>39</v>
      </c>
      <c r="G824" t="s">
        <v>40</v>
      </c>
      <c r="H824" s="13">
        <v>44716</v>
      </c>
      <c r="I824" s="14" t="s">
        <v>952</v>
      </c>
      <c r="J824" t="s">
        <v>42</v>
      </c>
      <c r="K824" t="s">
        <v>92</v>
      </c>
      <c r="L824" s="12" t="s">
        <v>165</v>
      </c>
    </row>
    <row r="825" spans="1:12" x14ac:dyDescent="0.35">
      <c r="A825" t="s">
        <v>951</v>
      </c>
      <c r="B825" s="10">
        <v>6390</v>
      </c>
      <c r="C825" s="10">
        <v>3089</v>
      </c>
      <c r="D825" s="10">
        <v>12</v>
      </c>
      <c r="E825" s="11" t="s">
        <v>30</v>
      </c>
      <c r="F825" s="11" t="s">
        <v>64</v>
      </c>
      <c r="G825" t="s">
        <v>65</v>
      </c>
      <c r="H825" s="13">
        <v>44716</v>
      </c>
      <c r="I825" s="14" t="s">
        <v>952</v>
      </c>
      <c r="J825" t="s">
        <v>42</v>
      </c>
      <c r="K825" t="s">
        <v>92</v>
      </c>
      <c r="L825" s="12" t="s">
        <v>165</v>
      </c>
    </row>
    <row r="826" spans="1:12" x14ac:dyDescent="0.35">
      <c r="A826" t="s">
        <v>953</v>
      </c>
      <c r="B826" s="10">
        <v>5831</v>
      </c>
      <c r="C826" s="10">
        <v>1574</v>
      </c>
      <c r="D826" s="10">
        <v>17</v>
      </c>
      <c r="E826" s="11" t="s">
        <v>30</v>
      </c>
      <c r="F826" s="11" t="s">
        <v>31</v>
      </c>
      <c r="G826" t="s">
        <v>32</v>
      </c>
      <c r="H826" s="13">
        <v>44881</v>
      </c>
      <c r="I826" s="14" t="s">
        <v>954</v>
      </c>
      <c r="J826" t="s">
        <v>42</v>
      </c>
      <c r="K826" t="s">
        <v>92</v>
      </c>
      <c r="L826" s="12" t="s">
        <v>44</v>
      </c>
    </row>
    <row r="827" spans="1:12" x14ac:dyDescent="0.35">
      <c r="A827" t="s">
        <v>953</v>
      </c>
      <c r="B827" s="10">
        <v>5831</v>
      </c>
      <c r="C827" s="10">
        <v>1574</v>
      </c>
      <c r="D827" s="10">
        <v>17</v>
      </c>
      <c r="E827" s="11" t="s">
        <v>30</v>
      </c>
      <c r="F827" s="11" t="s">
        <v>31</v>
      </c>
      <c r="G827" t="s">
        <v>32</v>
      </c>
      <c r="H827" s="13">
        <v>45491</v>
      </c>
      <c r="I827" s="14" t="s">
        <v>955</v>
      </c>
      <c r="J827" t="s">
        <v>42</v>
      </c>
      <c r="K827" t="s">
        <v>75</v>
      </c>
      <c r="L827" s="12" t="s">
        <v>215</v>
      </c>
    </row>
    <row r="828" spans="1:12" x14ac:dyDescent="0.35">
      <c r="A828" t="s">
        <v>953</v>
      </c>
      <c r="B828" s="10">
        <v>5831</v>
      </c>
      <c r="C828" s="10">
        <v>1574</v>
      </c>
      <c r="D828" s="10">
        <v>17</v>
      </c>
      <c r="E828" s="11" t="s">
        <v>30</v>
      </c>
      <c r="F828" s="11" t="s">
        <v>31</v>
      </c>
      <c r="G828" t="s">
        <v>32</v>
      </c>
      <c r="H828" s="13">
        <v>45123</v>
      </c>
      <c r="I828" s="14" t="s">
        <v>956</v>
      </c>
      <c r="J828" t="s">
        <v>17</v>
      </c>
      <c r="K828" t="s">
        <v>18</v>
      </c>
      <c r="L828" s="12" t="s">
        <v>105</v>
      </c>
    </row>
    <row r="829" spans="1:12" x14ac:dyDescent="0.35">
      <c r="A829" t="s">
        <v>957</v>
      </c>
      <c r="B829" s="10">
        <v>7952</v>
      </c>
      <c r="C829" s="10">
        <v>3865</v>
      </c>
      <c r="D829" s="10">
        <v>8</v>
      </c>
      <c r="E829" s="11" t="s">
        <v>45</v>
      </c>
      <c r="F829" s="11" t="s">
        <v>60</v>
      </c>
      <c r="G829" t="s">
        <v>32</v>
      </c>
      <c r="H829" s="13">
        <v>44053</v>
      </c>
      <c r="I829" s="14" t="s">
        <v>958</v>
      </c>
      <c r="J829" t="s">
        <v>21</v>
      </c>
      <c r="K829" t="s">
        <v>172</v>
      </c>
      <c r="L829" s="12" t="s">
        <v>185</v>
      </c>
    </row>
    <row r="830" spans="1:12" x14ac:dyDescent="0.35">
      <c r="A830" t="s">
        <v>959</v>
      </c>
      <c r="B830" s="10">
        <v>3659</v>
      </c>
      <c r="C830" s="10">
        <v>379</v>
      </c>
      <c r="D830" s="10">
        <v>5</v>
      </c>
      <c r="E830" s="11" t="s">
        <v>45</v>
      </c>
      <c r="F830" s="11" t="s">
        <v>109</v>
      </c>
      <c r="G830" t="s">
        <v>15</v>
      </c>
      <c r="H830" s="13">
        <v>45465</v>
      </c>
      <c r="I830" s="14" t="s">
        <v>960</v>
      </c>
      <c r="J830" t="s">
        <v>42</v>
      </c>
      <c r="K830" t="s">
        <v>43</v>
      </c>
      <c r="L830" s="12" t="s">
        <v>262</v>
      </c>
    </row>
    <row r="831" spans="1:12" x14ac:dyDescent="0.35">
      <c r="A831" t="s">
        <v>961</v>
      </c>
      <c r="B831" s="10">
        <v>4183</v>
      </c>
      <c r="C831" s="10">
        <v>1159</v>
      </c>
      <c r="D831" s="10">
        <v>4</v>
      </c>
      <c r="E831" s="11" t="s">
        <v>30</v>
      </c>
      <c r="F831" s="11" t="s">
        <v>31</v>
      </c>
      <c r="G831" t="s">
        <v>32</v>
      </c>
      <c r="H831" s="13">
        <v>44025</v>
      </c>
      <c r="I831" s="14" t="s">
        <v>962</v>
      </c>
      <c r="J831" t="s">
        <v>21</v>
      </c>
      <c r="K831" t="s">
        <v>63</v>
      </c>
      <c r="L831" s="12" t="s">
        <v>462</v>
      </c>
    </row>
    <row r="832" spans="1:12" x14ac:dyDescent="0.35">
      <c r="A832" t="s">
        <v>963</v>
      </c>
      <c r="B832" s="10">
        <v>7478</v>
      </c>
      <c r="C832" s="10">
        <v>1381</v>
      </c>
      <c r="D832" s="10">
        <v>11</v>
      </c>
      <c r="E832" s="11" t="s">
        <v>13</v>
      </c>
      <c r="F832" s="11" t="s">
        <v>82</v>
      </c>
      <c r="G832" t="s">
        <v>40</v>
      </c>
      <c r="H832" s="13">
        <v>45398</v>
      </c>
      <c r="I832" s="14" t="s">
        <v>964</v>
      </c>
      <c r="J832" t="s">
        <v>71</v>
      </c>
      <c r="K832" t="s">
        <v>138</v>
      </c>
      <c r="L832" s="12" t="s">
        <v>235</v>
      </c>
    </row>
    <row r="833" spans="1:12" x14ac:dyDescent="0.35">
      <c r="A833" t="s">
        <v>965</v>
      </c>
      <c r="B833" s="10">
        <v>702</v>
      </c>
      <c r="C833" s="10">
        <v>238</v>
      </c>
      <c r="D833" s="10">
        <v>9</v>
      </c>
      <c r="E833" s="11" t="s">
        <v>13</v>
      </c>
      <c r="F833" s="11" t="s">
        <v>82</v>
      </c>
      <c r="G833" t="s">
        <v>65</v>
      </c>
      <c r="H833" s="13">
        <v>44268</v>
      </c>
      <c r="I833" s="14" t="s">
        <v>966</v>
      </c>
      <c r="J833" t="s">
        <v>17</v>
      </c>
      <c r="K833" t="s">
        <v>150</v>
      </c>
      <c r="L833" s="12" t="s">
        <v>167</v>
      </c>
    </row>
    <row r="834" spans="1:12" x14ac:dyDescent="0.35">
      <c r="A834" t="s">
        <v>967</v>
      </c>
      <c r="B834" s="10">
        <v>4037</v>
      </c>
      <c r="C834" s="10">
        <v>1494</v>
      </c>
      <c r="D834" s="10">
        <v>15</v>
      </c>
      <c r="E834" s="11" t="s">
        <v>45</v>
      </c>
      <c r="F834" s="11" t="s">
        <v>49</v>
      </c>
      <c r="G834" t="s">
        <v>40</v>
      </c>
      <c r="H834" s="13">
        <v>45017</v>
      </c>
      <c r="I834" s="14" t="s">
        <v>968</v>
      </c>
      <c r="J834" t="s">
        <v>42</v>
      </c>
      <c r="K834" t="s">
        <v>92</v>
      </c>
      <c r="L834" s="12" t="s">
        <v>145</v>
      </c>
    </row>
    <row r="835" spans="1:12" x14ac:dyDescent="0.35">
      <c r="A835" t="s">
        <v>969</v>
      </c>
      <c r="B835" s="10">
        <v>5014</v>
      </c>
      <c r="C835" s="10">
        <v>2332</v>
      </c>
      <c r="D835" s="10">
        <v>2</v>
      </c>
      <c r="E835" s="11" t="s">
        <v>45</v>
      </c>
      <c r="F835" s="11" t="s">
        <v>49</v>
      </c>
      <c r="G835" t="s">
        <v>65</v>
      </c>
      <c r="H835" s="13">
        <v>44145</v>
      </c>
      <c r="I835" s="14" t="s">
        <v>970</v>
      </c>
      <c r="J835" t="s">
        <v>21</v>
      </c>
      <c r="K835" t="s">
        <v>22</v>
      </c>
      <c r="L835" s="12" t="s">
        <v>80</v>
      </c>
    </row>
    <row r="836" spans="1:12" x14ac:dyDescent="0.35">
      <c r="A836" t="s">
        <v>971</v>
      </c>
      <c r="B836" s="10">
        <v>9879</v>
      </c>
      <c r="C836" s="10">
        <v>4930</v>
      </c>
      <c r="D836" s="10">
        <v>15</v>
      </c>
      <c r="E836" s="11" t="s">
        <v>13</v>
      </c>
      <c r="F836" s="11" t="s">
        <v>39</v>
      </c>
      <c r="G836" t="s">
        <v>32</v>
      </c>
      <c r="H836" s="13">
        <v>45085</v>
      </c>
      <c r="I836" s="14" t="s">
        <v>972</v>
      </c>
      <c r="J836" t="s">
        <v>25</v>
      </c>
      <c r="K836" t="s">
        <v>68</v>
      </c>
      <c r="L836" s="12" t="s">
        <v>19</v>
      </c>
    </row>
    <row r="837" spans="1:12" x14ac:dyDescent="0.35">
      <c r="A837" t="s">
        <v>973</v>
      </c>
      <c r="B837" s="10">
        <v>8762</v>
      </c>
      <c r="C837" s="10">
        <v>3502</v>
      </c>
      <c r="D837" s="10">
        <v>1</v>
      </c>
      <c r="E837" s="11" t="s">
        <v>13</v>
      </c>
      <c r="F837" s="11" t="s">
        <v>82</v>
      </c>
      <c r="G837" t="s">
        <v>32</v>
      </c>
      <c r="H837" s="13">
        <v>44425</v>
      </c>
      <c r="I837" s="14" t="s">
        <v>974</v>
      </c>
      <c r="J837" t="s">
        <v>17</v>
      </c>
      <c r="K837" t="s">
        <v>150</v>
      </c>
      <c r="L837" s="12" t="s">
        <v>178</v>
      </c>
    </row>
    <row r="838" spans="1:12" x14ac:dyDescent="0.35">
      <c r="A838" t="s">
        <v>975</v>
      </c>
      <c r="B838" s="10">
        <v>8490</v>
      </c>
      <c r="C838" s="10">
        <v>800</v>
      </c>
      <c r="D838" s="10">
        <v>1</v>
      </c>
      <c r="E838" s="11" t="s">
        <v>30</v>
      </c>
      <c r="F838" s="11" t="s">
        <v>31</v>
      </c>
      <c r="G838" t="s">
        <v>40</v>
      </c>
      <c r="H838" s="13">
        <v>43975</v>
      </c>
      <c r="I838" s="14" t="s">
        <v>976</v>
      </c>
      <c r="J838" t="s">
        <v>25</v>
      </c>
      <c r="K838" t="s">
        <v>51</v>
      </c>
      <c r="L838" s="12" t="s">
        <v>59</v>
      </c>
    </row>
    <row r="839" spans="1:12" x14ac:dyDescent="0.35">
      <c r="A839" t="s">
        <v>977</v>
      </c>
      <c r="B839" s="10">
        <v>6951</v>
      </c>
      <c r="C839" s="10">
        <v>164</v>
      </c>
      <c r="D839" s="10">
        <v>10</v>
      </c>
      <c r="E839" s="11" t="s">
        <v>45</v>
      </c>
      <c r="F839" s="11" t="s">
        <v>60</v>
      </c>
      <c r="G839" t="s">
        <v>15</v>
      </c>
      <c r="H839" s="13">
        <v>44420</v>
      </c>
      <c r="I839" s="14" t="s">
        <v>978</v>
      </c>
      <c r="J839" t="s">
        <v>25</v>
      </c>
      <c r="K839" t="s">
        <v>26</v>
      </c>
      <c r="L839" s="12" t="s">
        <v>178</v>
      </c>
    </row>
    <row r="840" spans="1:12" x14ac:dyDescent="0.35">
      <c r="A840" t="s">
        <v>979</v>
      </c>
      <c r="B840" s="10">
        <v>1078</v>
      </c>
      <c r="C840" s="10">
        <v>309</v>
      </c>
      <c r="D840" s="10">
        <v>3</v>
      </c>
      <c r="E840" s="11" t="s">
        <v>13</v>
      </c>
      <c r="F840" s="11" t="s">
        <v>82</v>
      </c>
      <c r="G840" t="s">
        <v>47</v>
      </c>
      <c r="H840" s="13">
        <v>44807</v>
      </c>
      <c r="I840" s="14" t="s">
        <v>980</v>
      </c>
      <c r="J840" t="s">
        <v>98</v>
      </c>
      <c r="K840" t="s">
        <v>117</v>
      </c>
      <c r="L840" s="12" t="s">
        <v>131</v>
      </c>
    </row>
    <row r="841" spans="1:12" x14ac:dyDescent="0.35">
      <c r="A841" t="s">
        <v>979</v>
      </c>
      <c r="B841" s="10">
        <v>1078</v>
      </c>
      <c r="C841" s="10">
        <v>309</v>
      </c>
      <c r="D841" s="10">
        <v>3</v>
      </c>
      <c r="E841" s="11" t="s">
        <v>13</v>
      </c>
      <c r="F841" s="11" t="s">
        <v>82</v>
      </c>
      <c r="G841" t="s">
        <v>47</v>
      </c>
      <c r="H841" s="13">
        <v>44105</v>
      </c>
      <c r="I841" s="14" t="s">
        <v>981</v>
      </c>
      <c r="J841" t="s">
        <v>21</v>
      </c>
      <c r="K841" t="s">
        <v>22</v>
      </c>
      <c r="L841" s="12" t="s">
        <v>119</v>
      </c>
    </row>
    <row r="842" spans="1:12" x14ac:dyDescent="0.35">
      <c r="A842" t="s">
        <v>982</v>
      </c>
      <c r="B842" s="10">
        <v>8560</v>
      </c>
      <c r="C842" s="10">
        <v>2166</v>
      </c>
      <c r="D842" s="10">
        <v>19</v>
      </c>
      <c r="E842" s="11" t="s">
        <v>30</v>
      </c>
      <c r="F842" s="11" t="s">
        <v>78</v>
      </c>
      <c r="G842" t="s">
        <v>40</v>
      </c>
      <c r="H842" s="13">
        <v>44708</v>
      </c>
      <c r="I842" s="14" t="s">
        <v>983</v>
      </c>
      <c r="J842" t="s">
        <v>17</v>
      </c>
      <c r="K842" t="s">
        <v>150</v>
      </c>
      <c r="L842" s="12" t="s">
        <v>180</v>
      </c>
    </row>
    <row r="843" spans="1:12" x14ac:dyDescent="0.35">
      <c r="A843" t="s">
        <v>982</v>
      </c>
      <c r="B843" s="10">
        <v>1031</v>
      </c>
      <c r="C843" s="10">
        <v>318</v>
      </c>
      <c r="D843" s="10">
        <v>20</v>
      </c>
      <c r="E843" s="11" t="s">
        <v>13</v>
      </c>
      <c r="F843" s="11" t="s">
        <v>14</v>
      </c>
      <c r="G843" t="s">
        <v>15</v>
      </c>
      <c r="H843" s="13">
        <v>44708</v>
      </c>
      <c r="I843" s="14" t="s">
        <v>983</v>
      </c>
      <c r="J843" t="s">
        <v>17</v>
      </c>
      <c r="K843" t="s">
        <v>150</v>
      </c>
      <c r="L843" s="12" t="s">
        <v>180</v>
      </c>
    </row>
    <row r="844" spans="1:12" x14ac:dyDescent="0.35">
      <c r="A844" t="s">
        <v>984</v>
      </c>
      <c r="B844" s="10">
        <v>6402</v>
      </c>
      <c r="C844" s="10">
        <v>2770</v>
      </c>
      <c r="D844" s="10">
        <v>19</v>
      </c>
      <c r="E844" s="11" t="s">
        <v>30</v>
      </c>
      <c r="F844" s="11" t="s">
        <v>57</v>
      </c>
      <c r="G844" t="s">
        <v>32</v>
      </c>
      <c r="H844" s="13">
        <v>45361</v>
      </c>
      <c r="I844" s="14" t="s">
        <v>985</v>
      </c>
      <c r="J844" t="s">
        <v>17</v>
      </c>
      <c r="K844" t="s">
        <v>34</v>
      </c>
      <c r="L844" s="12" t="s">
        <v>338</v>
      </c>
    </row>
    <row r="845" spans="1:12" x14ac:dyDescent="0.35">
      <c r="A845" t="s">
        <v>984</v>
      </c>
      <c r="B845" s="10">
        <v>6402</v>
      </c>
      <c r="C845" s="10">
        <v>2770</v>
      </c>
      <c r="D845" s="10">
        <v>19</v>
      </c>
      <c r="E845" s="11" t="s">
        <v>30</v>
      </c>
      <c r="F845" s="11" t="s">
        <v>57</v>
      </c>
      <c r="G845" t="s">
        <v>32</v>
      </c>
      <c r="H845" s="13">
        <v>45204</v>
      </c>
      <c r="I845" s="14" t="s">
        <v>986</v>
      </c>
      <c r="J845" t="s">
        <v>17</v>
      </c>
      <c r="K845" t="s">
        <v>34</v>
      </c>
      <c r="L845" s="12" t="s">
        <v>442</v>
      </c>
    </row>
    <row r="846" spans="1:12" x14ac:dyDescent="0.35">
      <c r="A846" t="s">
        <v>984</v>
      </c>
      <c r="B846" s="10">
        <v>5916</v>
      </c>
      <c r="C846" s="10">
        <v>1594</v>
      </c>
      <c r="D846" s="10">
        <v>19</v>
      </c>
      <c r="E846" s="11" t="s">
        <v>13</v>
      </c>
      <c r="F846" s="11" t="s">
        <v>28</v>
      </c>
      <c r="G846" t="s">
        <v>32</v>
      </c>
      <c r="H846" s="13">
        <v>45361</v>
      </c>
      <c r="I846" s="14" t="s">
        <v>985</v>
      </c>
      <c r="J846" t="s">
        <v>17</v>
      </c>
      <c r="K846" t="s">
        <v>34</v>
      </c>
      <c r="L846" s="12" t="s">
        <v>338</v>
      </c>
    </row>
    <row r="847" spans="1:12" x14ac:dyDescent="0.35">
      <c r="A847" t="s">
        <v>984</v>
      </c>
      <c r="B847" s="10">
        <v>5916</v>
      </c>
      <c r="C847" s="10">
        <v>1594</v>
      </c>
      <c r="D847" s="10">
        <v>19</v>
      </c>
      <c r="E847" s="11" t="s">
        <v>13</v>
      </c>
      <c r="F847" s="11" t="s">
        <v>28</v>
      </c>
      <c r="G847" t="s">
        <v>32</v>
      </c>
      <c r="H847" s="13">
        <v>45204</v>
      </c>
      <c r="I847" s="14" t="s">
        <v>986</v>
      </c>
      <c r="J847" t="s">
        <v>17</v>
      </c>
      <c r="K847" t="s">
        <v>34</v>
      </c>
      <c r="L847" s="12" t="s">
        <v>442</v>
      </c>
    </row>
    <row r="848" spans="1:12" x14ac:dyDescent="0.35">
      <c r="A848" t="s">
        <v>987</v>
      </c>
      <c r="B848" s="10">
        <v>4015</v>
      </c>
      <c r="C848" s="10">
        <v>1751</v>
      </c>
      <c r="D848" s="10">
        <v>15</v>
      </c>
      <c r="E848" s="11" t="s">
        <v>45</v>
      </c>
      <c r="F848" s="11" t="s">
        <v>49</v>
      </c>
      <c r="G848" t="s">
        <v>32</v>
      </c>
      <c r="H848" s="13">
        <v>44801</v>
      </c>
      <c r="I848" s="14" t="s">
        <v>988</v>
      </c>
      <c r="J848" t="s">
        <v>42</v>
      </c>
      <c r="K848" t="s">
        <v>92</v>
      </c>
      <c r="L848" s="12" t="s">
        <v>209</v>
      </c>
    </row>
    <row r="849" spans="1:12" x14ac:dyDescent="0.35">
      <c r="A849" t="s">
        <v>987</v>
      </c>
      <c r="B849" s="10">
        <v>4015</v>
      </c>
      <c r="C849" s="10">
        <v>1751</v>
      </c>
      <c r="D849" s="10">
        <v>15</v>
      </c>
      <c r="E849" s="11" t="s">
        <v>45</v>
      </c>
      <c r="F849" s="11" t="s">
        <v>49</v>
      </c>
      <c r="G849" t="s">
        <v>32</v>
      </c>
      <c r="H849" s="13">
        <v>44082</v>
      </c>
      <c r="I849" s="14" t="s">
        <v>989</v>
      </c>
      <c r="J849" t="s">
        <v>25</v>
      </c>
      <c r="K849" t="s">
        <v>51</v>
      </c>
      <c r="L849" s="12" t="s">
        <v>389</v>
      </c>
    </row>
    <row r="850" spans="1:12" x14ac:dyDescent="0.35">
      <c r="A850" t="s">
        <v>990</v>
      </c>
      <c r="B850" s="10">
        <v>9335</v>
      </c>
      <c r="C850" s="10">
        <v>557</v>
      </c>
      <c r="D850" s="10">
        <v>11</v>
      </c>
      <c r="E850" s="11" t="s">
        <v>13</v>
      </c>
      <c r="F850" s="11" t="s">
        <v>14</v>
      </c>
      <c r="G850" t="s">
        <v>65</v>
      </c>
      <c r="H850" s="13">
        <v>44313</v>
      </c>
      <c r="I850" s="14" t="s">
        <v>991</v>
      </c>
      <c r="J850" t="s">
        <v>42</v>
      </c>
      <c r="K850" t="s">
        <v>43</v>
      </c>
      <c r="L850" s="12" t="s">
        <v>139</v>
      </c>
    </row>
    <row r="851" spans="1:12" x14ac:dyDescent="0.35">
      <c r="A851" t="s">
        <v>992</v>
      </c>
      <c r="B851" s="10">
        <v>4706</v>
      </c>
      <c r="C851" s="10">
        <v>594</v>
      </c>
      <c r="D851" s="10">
        <v>11</v>
      </c>
      <c r="E851" s="11" t="s">
        <v>30</v>
      </c>
      <c r="F851" s="11" t="s">
        <v>78</v>
      </c>
      <c r="G851" t="s">
        <v>65</v>
      </c>
      <c r="H851" s="13">
        <v>44429</v>
      </c>
      <c r="I851" s="14" t="s">
        <v>993</v>
      </c>
      <c r="J851" t="s">
        <v>98</v>
      </c>
      <c r="K851" t="s">
        <v>117</v>
      </c>
      <c r="L851" s="12" t="s">
        <v>178</v>
      </c>
    </row>
    <row r="852" spans="1:12" x14ac:dyDescent="0.35">
      <c r="A852" t="s">
        <v>992</v>
      </c>
      <c r="B852" s="10">
        <v>4706</v>
      </c>
      <c r="C852" s="10">
        <v>594</v>
      </c>
      <c r="D852" s="10">
        <v>11</v>
      </c>
      <c r="E852" s="11" t="s">
        <v>30</v>
      </c>
      <c r="F852" s="11" t="s">
        <v>78</v>
      </c>
      <c r="G852" t="s">
        <v>65</v>
      </c>
      <c r="H852" s="13">
        <v>44332</v>
      </c>
      <c r="I852" s="14" t="s">
        <v>994</v>
      </c>
      <c r="J852" t="s">
        <v>98</v>
      </c>
      <c r="K852" t="s">
        <v>99</v>
      </c>
      <c r="L852" s="12" t="s">
        <v>108</v>
      </c>
    </row>
    <row r="853" spans="1:12" x14ac:dyDescent="0.35">
      <c r="A853" t="s">
        <v>992</v>
      </c>
      <c r="B853" s="10">
        <v>6584</v>
      </c>
      <c r="C853" s="10">
        <v>371</v>
      </c>
      <c r="D853" s="10">
        <v>6</v>
      </c>
      <c r="E853" s="11" t="s">
        <v>30</v>
      </c>
      <c r="F853" s="11" t="s">
        <v>57</v>
      </c>
      <c r="G853" t="s">
        <v>15</v>
      </c>
      <c r="H853" s="13">
        <v>44429</v>
      </c>
      <c r="I853" s="14" t="s">
        <v>993</v>
      </c>
      <c r="J853" t="s">
        <v>98</v>
      </c>
      <c r="K853" t="s">
        <v>117</v>
      </c>
      <c r="L853" s="12" t="s">
        <v>178</v>
      </c>
    </row>
    <row r="854" spans="1:12" x14ac:dyDescent="0.35">
      <c r="A854" t="s">
        <v>992</v>
      </c>
      <c r="B854" s="10">
        <v>6584</v>
      </c>
      <c r="C854" s="10">
        <v>371</v>
      </c>
      <c r="D854" s="10">
        <v>6</v>
      </c>
      <c r="E854" s="11" t="s">
        <v>30</v>
      </c>
      <c r="F854" s="11" t="s">
        <v>57</v>
      </c>
      <c r="G854" t="s">
        <v>15</v>
      </c>
      <c r="H854" s="13">
        <v>44332</v>
      </c>
      <c r="I854" s="14" t="s">
        <v>994</v>
      </c>
      <c r="J854" t="s">
        <v>98</v>
      </c>
      <c r="K854" t="s">
        <v>99</v>
      </c>
      <c r="L854" s="12" t="s">
        <v>108</v>
      </c>
    </row>
    <row r="855" spans="1:12" x14ac:dyDescent="0.35">
      <c r="A855" t="s">
        <v>995</v>
      </c>
      <c r="B855" s="10">
        <v>6389</v>
      </c>
      <c r="C855" s="10">
        <v>734</v>
      </c>
      <c r="D855" s="10">
        <v>1</v>
      </c>
      <c r="E855" s="11" t="s">
        <v>45</v>
      </c>
      <c r="F855" s="11" t="s">
        <v>60</v>
      </c>
      <c r="G855" t="s">
        <v>40</v>
      </c>
      <c r="H855" s="13">
        <v>44576</v>
      </c>
      <c r="I855" s="14" t="s">
        <v>996</v>
      </c>
      <c r="J855" t="s">
        <v>71</v>
      </c>
      <c r="K855" t="s">
        <v>72</v>
      </c>
      <c r="L855" s="12" t="s">
        <v>87</v>
      </c>
    </row>
    <row r="856" spans="1:12" x14ac:dyDescent="0.35">
      <c r="A856" t="s">
        <v>997</v>
      </c>
      <c r="B856" s="10">
        <v>9869</v>
      </c>
      <c r="C856" s="10">
        <v>4299</v>
      </c>
      <c r="D856" s="10">
        <v>12</v>
      </c>
      <c r="E856" s="11" t="s">
        <v>13</v>
      </c>
      <c r="F856" s="11" t="s">
        <v>28</v>
      </c>
      <c r="G856" t="s">
        <v>32</v>
      </c>
      <c r="H856" s="13">
        <v>45006</v>
      </c>
      <c r="I856" s="14" t="s">
        <v>998</v>
      </c>
      <c r="J856" t="s">
        <v>42</v>
      </c>
      <c r="K856" t="s">
        <v>75</v>
      </c>
      <c r="L856" s="12" t="s">
        <v>245</v>
      </c>
    </row>
    <row r="857" spans="1:12" x14ac:dyDescent="0.35">
      <c r="A857" t="s">
        <v>997</v>
      </c>
      <c r="B857" s="10">
        <v>9869</v>
      </c>
      <c r="C857" s="10">
        <v>4299</v>
      </c>
      <c r="D857" s="10">
        <v>12</v>
      </c>
      <c r="E857" s="11" t="s">
        <v>13</v>
      </c>
      <c r="F857" s="11" t="s">
        <v>28</v>
      </c>
      <c r="G857" t="s">
        <v>32</v>
      </c>
      <c r="H857" s="13">
        <v>45288</v>
      </c>
      <c r="I857" s="14" t="s">
        <v>999</v>
      </c>
      <c r="J857" t="s">
        <v>25</v>
      </c>
      <c r="K857" t="s">
        <v>26</v>
      </c>
      <c r="L857" s="12" t="s">
        <v>102</v>
      </c>
    </row>
    <row r="858" spans="1:12" x14ac:dyDescent="0.35">
      <c r="A858" t="s">
        <v>1000</v>
      </c>
      <c r="B858" s="10">
        <v>655</v>
      </c>
      <c r="C858" s="10">
        <v>297</v>
      </c>
      <c r="D858" s="10">
        <v>4</v>
      </c>
      <c r="E858" s="11" t="s">
        <v>30</v>
      </c>
      <c r="F858" s="11" t="s">
        <v>57</v>
      </c>
      <c r="G858" t="s">
        <v>32</v>
      </c>
      <c r="H858" s="13">
        <v>44607</v>
      </c>
      <c r="I858" s="14" t="s">
        <v>1001</v>
      </c>
      <c r="J858" t="s">
        <v>25</v>
      </c>
      <c r="K858" t="s">
        <v>26</v>
      </c>
      <c r="L858" s="12" t="s">
        <v>137</v>
      </c>
    </row>
    <row r="859" spans="1:12" x14ac:dyDescent="0.35">
      <c r="A859" t="s">
        <v>1000</v>
      </c>
      <c r="B859" s="10">
        <v>655</v>
      </c>
      <c r="C859" s="10">
        <v>297</v>
      </c>
      <c r="D859" s="10">
        <v>4</v>
      </c>
      <c r="E859" s="11" t="s">
        <v>30</v>
      </c>
      <c r="F859" s="11" t="s">
        <v>57</v>
      </c>
      <c r="G859" t="s">
        <v>32</v>
      </c>
      <c r="H859" s="13">
        <v>45260</v>
      </c>
      <c r="I859" s="14" t="s">
        <v>1002</v>
      </c>
      <c r="J859" t="s">
        <v>17</v>
      </c>
      <c r="K859" t="s">
        <v>34</v>
      </c>
      <c r="L859" s="12" t="s">
        <v>52</v>
      </c>
    </row>
    <row r="860" spans="1:12" x14ac:dyDescent="0.35">
      <c r="A860" t="s">
        <v>1003</v>
      </c>
      <c r="B860" s="10">
        <v>798</v>
      </c>
      <c r="C860" s="10">
        <v>308</v>
      </c>
      <c r="D860" s="10">
        <v>10</v>
      </c>
      <c r="E860" s="11" t="s">
        <v>13</v>
      </c>
      <c r="F860" s="11" t="s">
        <v>82</v>
      </c>
      <c r="G860" t="s">
        <v>32</v>
      </c>
      <c r="H860" s="13">
        <v>44938</v>
      </c>
      <c r="I860" s="14" t="s">
        <v>1004</v>
      </c>
      <c r="J860" t="s">
        <v>25</v>
      </c>
      <c r="K860" t="s">
        <v>26</v>
      </c>
      <c r="L860" s="12" t="s">
        <v>333</v>
      </c>
    </row>
    <row r="861" spans="1:12" x14ac:dyDescent="0.35">
      <c r="A861" t="s">
        <v>1003</v>
      </c>
      <c r="B861" s="10">
        <v>798</v>
      </c>
      <c r="C861" s="10">
        <v>308</v>
      </c>
      <c r="D861" s="10">
        <v>10</v>
      </c>
      <c r="E861" s="11" t="s">
        <v>13</v>
      </c>
      <c r="F861" s="11" t="s">
        <v>82</v>
      </c>
      <c r="G861" t="s">
        <v>32</v>
      </c>
      <c r="H861" s="13">
        <v>45065</v>
      </c>
      <c r="I861" s="14" t="s">
        <v>1005</v>
      </c>
      <c r="J861" t="s">
        <v>98</v>
      </c>
      <c r="K861" t="s">
        <v>117</v>
      </c>
      <c r="L861" s="12" t="s">
        <v>127</v>
      </c>
    </row>
    <row r="862" spans="1:12" x14ac:dyDescent="0.35">
      <c r="A862" t="s">
        <v>1003</v>
      </c>
      <c r="B862" s="10">
        <v>7967</v>
      </c>
      <c r="C862" s="10">
        <v>2504</v>
      </c>
      <c r="D862" s="10">
        <v>13</v>
      </c>
      <c r="E862" s="11" t="s">
        <v>13</v>
      </c>
      <c r="F862" s="11" t="s">
        <v>28</v>
      </c>
      <c r="G862" t="s">
        <v>40</v>
      </c>
      <c r="H862" s="13">
        <v>44938</v>
      </c>
      <c r="I862" s="14" t="s">
        <v>1004</v>
      </c>
      <c r="J862" t="s">
        <v>25</v>
      </c>
      <c r="K862" t="s">
        <v>26</v>
      </c>
      <c r="L862" s="12" t="s">
        <v>333</v>
      </c>
    </row>
    <row r="863" spans="1:12" x14ac:dyDescent="0.35">
      <c r="A863" t="s">
        <v>1003</v>
      </c>
      <c r="B863" s="10">
        <v>7967</v>
      </c>
      <c r="C863" s="10">
        <v>2504</v>
      </c>
      <c r="D863" s="10">
        <v>13</v>
      </c>
      <c r="E863" s="11" t="s">
        <v>13</v>
      </c>
      <c r="F863" s="11" t="s">
        <v>28</v>
      </c>
      <c r="G863" t="s">
        <v>40</v>
      </c>
      <c r="H863" s="13">
        <v>45065</v>
      </c>
      <c r="I863" s="14" t="s">
        <v>1005</v>
      </c>
      <c r="J863" t="s">
        <v>98</v>
      </c>
      <c r="K863" t="s">
        <v>117</v>
      </c>
      <c r="L863" s="12" t="s">
        <v>127</v>
      </c>
    </row>
    <row r="864" spans="1:12" x14ac:dyDescent="0.35">
      <c r="A864" t="s">
        <v>1006</v>
      </c>
      <c r="B864" s="10">
        <v>3756</v>
      </c>
      <c r="C864" s="10">
        <v>1318</v>
      </c>
      <c r="D864" s="10">
        <v>5</v>
      </c>
      <c r="E864" s="11" t="s">
        <v>45</v>
      </c>
      <c r="F864" s="11" t="s">
        <v>46</v>
      </c>
      <c r="G864" t="s">
        <v>15</v>
      </c>
      <c r="H864" s="13">
        <v>45341</v>
      </c>
      <c r="I864" s="14" t="s">
        <v>1007</v>
      </c>
      <c r="J864" t="s">
        <v>17</v>
      </c>
      <c r="K864" t="s">
        <v>18</v>
      </c>
      <c r="L864" s="12" t="s">
        <v>218</v>
      </c>
    </row>
    <row r="865" spans="1:12" x14ac:dyDescent="0.35">
      <c r="A865" t="s">
        <v>1008</v>
      </c>
      <c r="B865" s="10">
        <v>5196</v>
      </c>
      <c r="C865" s="10">
        <v>2477</v>
      </c>
      <c r="D865" s="10">
        <v>1</v>
      </c>
      <c r="E865" s="11" t="s">
        <v>30</v>
      </c>
      <c r="F865" s="11" t="s">
        <v>57</v>
      </c>
      <c r="G865" t="s">
        <v>15</v>
      </c>
      <c r="H865" s="13">
        <v>44531</v>
      </c>
      <c r="I865" s="14" t="s">
        <v>1009</v>
      </c>
      <c r="J865" t="s">
        <v>71</v>
      </c>
      <c r="K865" t="s">
        <v>86</v>
      </c>
      <c r="L865" s="12" t="s">
        <v>90</v>
      </c>
    </row>
    <row r="866" spans="1:12" x14ac:dyDescent="0.35">
      <c r="A866" t="s">
        <v>1008</v>
      </c>
      <c r="B866" s="10">
        <v>6586</v>
      </c>
      <c r="C866" s="10">
        <v>1794</v>
      </c>
      <c r="D866" s="10">
        <v>19</v>
      </c>
      <c r="E866" s="11" t="s">
        <v>45</v>
      </c>
      <c r="F866" s="11" t="s">
        <v>109</v>
      </c>
      <c r="G866" t="s">
        <v>32</v>
      </c>
      <c r="H866" s="13">
        <v>44531</v>
      </c>
      <c r="I866" s="14" t="s">
        <v>1009</v>
      </c>
      <c r="J866" t="s">
        <v>71</v>
      </c>
      <c r="K866" t="s">
        <v>86</v>
      </c>
      <c r="L866" s="12" t="s">
        <v>90</v>
      </c>
    </row>
    <row r="867" spans="1:12" x14ac:dyDescent="0.35">
      <c r="A867" t="s">
        <v>1010</v>
      </c>
      <c r="B867" s="10">
        <v>6673</v>
      </c>
      <c r="C867" s="10">
        <v>950</v>
      </c>
      <c r="D867" s="10">
        <v>19</v>
      </c>
      <c r="E867" s="11" t="s">
        <v>30</v>
      </c>
      <c r="F867" s="11" t="s">
        <v>57</v>
      </c>
      <c r="G867" t="s">
        <v>40</v>
      </c>
      <c r="H867" s="13">
        <v>45645</v>
      </c>
      <c r="I867" s="14" t="s">
        <v>1011</v>
      </c>
      <c r="J867" t="s">
        <v>25</v>
      </c>
      <c r="K867" t="s">
        <v>26</v>
      </c>
      <c r="L867" s="12" t="s">
        <v>23</v>
      </c>
    </row>
    <row r="868" spans="1:12" x14ac:dyDescent="0.35">
      <c r="A868" t="s">
        <v>1012</v>
      </c>
      <c r="B868" s="10">
        <v>714</v>
      </c>
      <c r="C868" s="10">
        <v>232</v>
      </c>
      <c r="D868" s="10">
        <v>14</v>
      </c>
      <c r="E868" s="11" t="s">
        <v>45</v>
      </c>
      <c r="F868" s="11" t="s">
        <v>46</v>
      </c>
      <c r="G868" t="s">
        <v>15</v>
      </c>
      <c r="H868" s="13">
        <v>44944</v>
      </c>
      <c r="I868" s="14" t="s">
        <v>1013</v>
      </c>
      <c r="J868" t="s">
        <v>98</v>
      </c>
      <c r="K868" t="s">
        <v>99</v>
      </c>
      <c r="L868" s="12" t="s">
        <v>333</v>
      </c>
    </row>
    <row r="869" spans="1:12" x14ac:dyDescent="0.35">
      <c r="A869" t="s">
        <v>1012</v>
      </c>
      <c r="B869" s="10">
        <v>714</v>
      </c>
      <c r="C869" s="10">
        <v>232</v>
      </c>
      <c r="D869" s="10">
        <v>14</v>
      </c>
      <c r="E869" s="11" t="s">
        <v>45</v>
      </c>
      <c r="F869" s="11" t="s">
        <v>46</v>
      </c>
      <c r="G869" t="s">
        <v>15</v>
      </c>
      <c r="H869" s="13">
        <v>44188</v>
      </c>
      <c r="I869" s="14" t="s">
        <v>1014</v>
      </c>
      <c r="J869" t="s">
        <v>71</v>
      </c>
      <c r="K869" t="s">
        <v>86</v>
      </c>
      <c r="L869" s="12" t="s">
        <v>287</v>
      </c>
    </row>
    <row r="870" spans="1:12" x14ac:dyDescent="0.35">
      <c r="A870" t="s">
        <v>1015</v>
      </c>
      <c r="B870" s="10">
        <v>1083</v>
      </c>
      <c r="C870" s="10">
        <v>501</v>
      </c>
      <c r="D870" s="10">
        <v>6</v>
      </c>
      <c r="E870" s="11" t="s">
        <v>30</v>
      </c>
      <c r="F870" s="11" t="s">
        <v>31</v>
      </c>
      <c r="G870" t="s">
        <v>65</v>
      </c>
      <c r="H870" s="13">
        <v>44255</v>
      </c>
      <c r="I870" s="14" t="s">
        <v>1016</v>
      </c>
      <c r="J870" t="s">
        <v>71</v>
      </c>
      <c r="K870" t="s">
        <v>86</v>
      </c>
      <c r="L870" s="12" t="s">
        <v>292</v>
      </c>
    </row>
    <row r="871" spans="1:12" x14ac:dyDescent="0.35">
      <c r="A871" t="s">
        <v>1017</v>
      </c>
      <c r="B871" s="10">
        <v>2401</v>
      </c>
      <c r="C871" s="10">
        <v>1163</v>
      </c>
      <c r="D871" s="10">
        <v>10</v>
      </c>
      <c r="E871" s="11" t="s">
        <v>45</v>
      </c>
      <c r="F871" s="11" t="s">
        <v>109</v>
      </c>
      <c r="G871" t="s">
        <v>15</v>
      </c>
      <c r="H871" s="13">
        <v>45050</v>
      </c>
      <c r="I871" s="14" t="s">
        <v>1018</v>
      </c>
      <c r="J871" t="s">
        <v>98</v>
      </c>
      <c r="K871" t="s">
        <v>117</v>
      </c>
      <c r="L871" s="12" t="s">
        <v>127</v>
      </c>
    </row>
    <row r="872" spans="1:12" x14ac:dyDescent="0.35">
      <c r="A872" t="s">
        <v>1017</v>
      </c>
      <c r="B872" s="10">
        <v>2401</v>
      </c>
      <c r="C872" s="10">
        <v>1163</v>
      </c>
      <c r="D872" s="10">
        <v>10</v>
      </c>
      <c r="E872" s="11" t="s">
        <v>45</v>
      </c>
      <c r="F872" s="11" t="s">
        <v>109</v>
      </c>
      <c r="G872" t="s">
        <v>15</v>
      </c>
      <c r="H872" s="13">
        <v>43943</v>
      </c>
      <c r="I872" s="14" t="s">
        <v>1019</v>
      </c>
      <c r="J872" t="s">
        <v>42</v>
      </c>
      <c r="K872" t="s">
        <v>43</v>
      </c>
      <c r="L872" s="12" t="s">
        <v>162</v>
      </c>
    </row>
    <row r="873" spans="1:12" x14ac:dyDescent="0.35">
      <c r="A873" t="s">
        <v>1017</v>
      </c>
      <c r="B873" s="10">
        <v>2401</v>
      </c>
      <c r="C873" s="10">
        <v>1163</v>
      </c>
      <c r="D873" s="10">
        <v>10</v>
      </c>
      <c r="E873" s="11" t="s">
        <v>45</v>
      </c>
      <c r="F873" s="11" t="s">
        <v>109</v>
      </c>
      <c r="G873" t="s">
        <v>15</v>
      </c>
      <c r="H873" s="13">
        <v>44421</v>
      </c>
      <c r="I873" s="14" t="s">
        <v>1020</v>
      </c>
      <c r="J873" t="s">
        <v>25</v>
      </c>
      <c r="K873" t="s">
        <v>68</v>
      </c>
      <c r="L873" s="12" t="s">
        <v>178</v>
      </c>
    </row>
    <row r="874" spans="1:12" x14ac:dyDescent="0.35">
      <c r="A874" t="s">
        <v>1017</v>
      </c>
      <c r="B874" s="10">
        <v>1045</v>
      </c>
      <c r="C874" s="10">
        <v>267</v>
      </c>
      <c r="D874" s="10">
        <v>11</v>
      </c>
      <c r="E874" s="11" t="s">
        <v>13</v>
      </c>
      <c r="F874" s="11" t="s">
        <v>82</v>
      </c>
      <c r="G874" t="s">
        <v>32</v>
      </c>
      <c r="H874" s="13">
        <v>45050</v>
      </c>
      <c r="I874" s="14" t="s">
        <v>1018</v>
      </c>
      <c r="J874" t="s">
        <v>98</v>
      </c>
      <c r="K874" t="s">
        <v>117</v>
      </c>
      <c r="L874" s="12" t="s">
        <v>127</v>
      </c>
    </row>
    <row r="875" spans="1:12" x14ac:dyDescent="0.35">
      <c r="A875" t="s">
        <v>1017</v>
      </c>
      <c r="B875" s="10">
        <v>1045</v>
      </c>
      <c r="C875" s="10">
        <v>267</v>
      </c>
      <c r="D875" s="10">
        <v>11</v>
      </c>
      <c r="E875" s="11" t="s">
        <v>13</v>
      </c>
      <c r="F875" s="11" t="s">
        <v>82</v>
      </c>
      <c r="G875" t="s">
        <v>32</v>
      </c>
      <c r="H875" s="13">
        <v>43943</v>
      </c>
      <c r="I875" s="14" t="s">
        <v>1019</v>
      </c>
      <c r="J875" t="s">
        <v>42</v>
      </c>
      <c r="K875" t="s">
        <v>43</v>
      </c>
      <c r="L875" s="12" t="s">
        <v>162</v>
      </c>
    </row>
    <row r="876" spans="1:12" x14ac:dyDescent="0.35">
      <c r="A876" t="s">
        <v>1017</v>
      </c>
      <c r="B876" s="10">
        <v>1045</v>
      </c>
      <c r="C876" s="10">
        <v>267</v>
      </c>
      <c r="D876" s="10">
        <v>11</v>
      </c>
      <c r="E876" s="11" t="s">
        <v>13</v>
      </c>
      <c r="F876" s="11" t="s">
        <v>82</v>
      </c>
      <c r="G876" t="s">
        <v>32</v>
      </c>
      <c r="H876" s="13">
        <v>44421</v>
      </c>
      <c r="I876" s="14" t="s">
        <v>1020</v>
      </c>
      <c r="J876" t="s">
        <v>25</v>
      </c>
      <c r="K876" t="s">
        <v>68</v>
      </c>
      <c r="L876" s="12" t="s">
        <v>178</v>
      </c>
    </row>
    <row r="877" spans="1:12" x14ac:dyDescent="0.35">
      <c r="A877" t="s">
        <v>1021</v>
      </c>
      <c r="B877" s="10">
        <v>7806</v>
      </c>
      <c r="C877" s="10">
        <v>1127</v>
      </c>
      <c r="D877" s="10">
        <v>1</v>
      </c>
      <c r="E877" s="11" t="s">
        <v>30</v>
      </c>
      <c r="F877" s="11" t="s">
        <v>57</v>
      </c>
      <c r="G877" t="s">
        <v>47</v>
      </c>
      <c r="H877" s="13">
        <v>45127</v>
      </c>
      <c r="I877" s="14" t="s">
        <v>1022</v>
      </c>
      <c r="J877" t="s">
        <v>71</v>
      </c>
      <c r="K877" t="s">
        <v>72</v>
      </c>
      <c r="L877" s="12" t="s">
        <v>105</v>
      </c>
    </row>
    <row r="878" spans="1:12" x14ac:dyDescent="0.35">
      <c r="A878" t="s">
        <v>1023</v>
      </c>
      <c r="B878" s="10">
        <v>5263</v>
      </c>
      <c r="C878" s="10">
        <v>1743</v>
      </c>
      <c r="D878" s="10">
        <v>19</v>
      </c>
      <c r="E878" s="11" t="s">
        <v>45</v>
      </c>
      <c r="F878" s="11" t="s">
        <v>60</v>
      </c>
      <c r="G878" t="s">
        <v>47</v>
      </c>
      <c r="H878" s="13">
        <v>44801</v>
      </c>
      <c r="I878" s="14" t="s">
        <v>1024</v>
      </c>
      <c r="J878" t="s">
        <v>17</v>
      </c>
      <c r="K878" t="s">
        <v>18</v>
      </c>
      <c r="L878" s="12" t="s">
        <v>209</v>
      </c>
    </row>
    <row r="879" spans="1:12" x14ac:dyDescent="0.35">
      <c r="A879" t="s">
        <v>1025</v>
      </c>
      <c r="B879" s="10">
        <v>6147</v>
      </c>
      <c r="C879" s="10">
        <v>2526</v>
      </c>
      <c r="D879" s="10">
        <v>6</v>
      </c>
      <c r="E879" s="11" t="s">
        <v>30</v>
      </c>
      <c r="F879" s="11" t="s">
        <v>31</v>
      </c>
      <c r="G879" t="s">
        <v>32</v>
      </c>
      <c r="H879" s="13">
        <v>44999</v>
      </c>
      <c r="I879" s="14" t="s">
        <v>1026</v>
      </c>
      <c r="J879" t="s">
        <v>71</v>
      </c>
      <c r="K879" t="s">
        <v>72</v>
      </c>
      <c r="L879" s="12" t="s">
        <v>245</v>
      </c>
    </row>
    <row r="880" spans="1:12" x14ac:dyDescent="0.35">
      <c r="A880" t="s">
        <v>1027</v>
      </c>
      <c r="B880" s="10">
        <v>7484</v>
      </c>
      <c r="C880" s="10">
        <v>2871</v>
      </c>
      <c r="D880" s="10">
        <v>15</v>
      </c>
      <c r="E880" s="11" t="s">
        <v>13</v>
      </c>
      <c r="F880" s="11" t="s">
        <v>82</v>
      </c>
      <c r="G880" t="s">
        <v>15</v>
      </c>
      <c r="H880" s="13">
        <v>45237</v>
      </c>
      <c r="I880" s="14" t="s">
        <v>1028</v>
      </c>
      <c r="J880" t="s">
        <v>17</v>
      </c>
      <c r="K880" t="s">
        <v>34</v>
      </c>
      <c r="L880" s="12" t="s">
        <v>52</v>
      </c>
    </row>
    <row r="881" spans="1:12" x14ac:dyDescent="0.35">
      <c r="A881" t="s">
        <v>1027</v>
      </c>
      <c r="B881" s="10">
        <v>7484</v>
      </c>
      <c r="C881" s="10">
        <v>2871</v>
      </c>
      <c r="D881" s="10">
        <v>15</v>
      </c>
      <c r="E881" s="11" t="s">
        <v>13</v>
      </c>
      <c r="F881" s="11" t="s">
        <v>82</v>
      </c>
      <c r="G881" t="s">
        <v>15</v>
      </c>
      <c r="H881" s="13">
        <v>45398</v>
      </c>
      <c r="I881" s="14" t="s">
        <v>1029</v>
      </c>
      <c r="J881" t="s">
        <v>21</v>
      </c>
      <c r="K881" t="s">
        <v>22</v>
      </c>
      <c r="L881" s="12" t="s">
        <v>235</v>
      </c>
    </row>
    <row r="882" spans="1:12" x14ac:dyDescent="0.35">
      <c r="A882" t="s">
        <v>1027</v>
      </c>
      <c r="B882" s="10">
        <v>7700</v>
      </c>
      <c r="C882" s="10">
        <v>2712</v>
      </c>
      <c r="D882" s="10">
        <v>1</v>
      </c>
      <c r="E882" s="11" t="s">
        <v>45</v>
      </c>
      <c r="F882" s="11" t="s">
        <v>60</v>
      </c>
      <c r="G882" t="s">
        <v>47</v>
      </c>
      <c r="H882" s="13">
        <v>45237</v>
      </c>
      <c r="I882" s="14" t="s">
        <v>1028</v>
      </c>
      <c r="J882" t="s">
        <v>17</v>
      </c>
      <c r="K882" t="s">
        <v>34</v>
      </c>
      <c r="L882" s="12" t="s">
        <v>52</v>
      </c>
    </row>
    <row r="883" spans="1:12" x14ac:dyDescent="0.35">
      <c r="A883" t="s">
        <v>1027</v>
      </c>
      <c r="B883" s="10">
        <v>7700</v>
      </c>
      <c r="C883" s="10">
        <v>2712</v>
      </c>
      <c r="D883" s="10">
        <v>1</v>
      </c>
      <c r="E883" s="11" t="s">
        <v>45</v>
      </c>
      <c r="F883" s="11" t="s">
        <v>60</v>
      </c>
      <c r="G883" t="s">
        <v>47</v>
      </c>
      <c r="H883" s="13">
        <v>45398</v>
      </c>
      <c r="I883" s="14" t="s">
        <v>1029</v>
      </c>
      <c r="J883" t="s">
        <v>21</v>
      </c>
      <c r="K883" t="s">
        <v>22</v>
      </c>
      <c r="L883" s="12" t="s">
        <v>235</v>
      </c>
    </row>
    <row r="884" spans="1:12" x14ac:dyDescent="0.35">
      <c r="A884" t="s">
        <v>1030</v>
      </c>
      <c r="B884" s="10">
        <v>8537</v>
      </c>
      <c r="C884" s="10">
        <v>3586</v>
      </c>
      <c r="D884" s="10">
        <v>13</v>
      </c>
      <c r="E884" s="11" t="s">
        <v>30</v>
      </c>
      <c r="F884" s="11" t="s">
        <v>57</v>
      </c>
      <c r="G884" t="s">
        <v>15</v>
      </c>
      <c r="H884" s="13">
        <v>44820</v>
      </c>
      <c r="I884" s="14" t="s">
        <v>1031</v>
      </c>
      <c r="J884" t="s">
        <v>25</v>
      </c>
      <c r="K884" t="s">
        <v>68</v>
      </c>
      <c r="L884" s="12" t="s">
        <v>131</v>
      </c>
    </row>
    <row r="885" spans="1:12" x14ac:dyDescent="0.35">
      <c r="A885" t="s">
        <v>1032</v>
      </c>
      <c r="B885" s="10">
        <v>8858</v>
      </c>
      <c r="C885" s="10">
        <v>3394</v>
      </c>
      <c r="D885" s="10">
        <v>6</v>
      </c>
      <c r="E885" s="11" t="s">
        <v>45</v>
      </c>
      <c r="F885" s="11" t="s">
        <v>49</v>
      </c>
      <c r="G885" t="s">
        <v>65</v>
      </c>
      <c r="H885" s="13">
        <v>45596</v>
      </c>
      <c r="I885" s="14" t="s">
        <v>1033</v>
      </c>
      <c r="J885" t="s">
        <v>42</v>
      </c>
      <c r="K885" t="s">
        <v>75</v>
      </c>
      <c r="L885" s="12" t="s">
        <v>360</v>
      </c>
    </row>
    <row r="886" spans="1:12" x14ac:dyDescent="0.35">
      <c r="A886" t="s">
        <v>1034</v>
      </c>
      <c r="B886" s="10">
        <v>5313</v>
      </c>
      <c r="C886" s="10">
        <v>2037</v>
      </c>
      <c r="D886" s="10">
        <v>7</v>
      </c>
      <c r="E886" s="11" t="s">
        <v>13</v>
      </c>
      <c r="F886" s="11" t="s">
        <v>28</v>
      </c>
      <c r="G886" t="s">
        <v>32</v>
      </c>
      <c r="H886" s="13">
        <v>45621</v>
      </c>
      <c r="I886" s="14" t="s">
        <v>1035</v>
      </c>
      <c r="J886" t="s">
        <v>42</v>
      </c>
      <c r="K886" t="s">
        <v>92</v>
      </c>
      <c r="L886" s="12" t="s">
        <v>255</v>
      </c>
    </row>
    <row r="887" spans="1:12" x14ac:dyDescent="0.35">
      <c r="A887" t="s">
        <v>1034</v>
      </c>
      <c r="B887" s="10">
        <v>5313</v>
      </c>
      <c r="C887" s="10">
        <v>2037</v>
      </c>
      <c r="D887" s="10">
        <v>7</v>
      </c>
      <c r="E887" s="11" t="s">
        <v>13</v>
      </c>
      <c r="F887" s="11" t="s">
        <v>28</v>
      </c>
      <c r="G887" t="s">
        <v>32</v>
      </c>
      <c r="H887" s="13">
        <v>44498</v>
      </c>
      <c r="I887" s="14" t="s">
        <v>1036</v>
      </c>
      <c r="J887" t="s">
        <v>71</v>
      </c>
      <c r="K887" t="s">
        <v>138</v>
      </c>
      <c r="L887" s="12" t="s">
        <v>37</v>
      </c>
    </row>
    <row r="888" spans="1:12" x14ac:dyDescent="0.35">
      <c r="A888" t="s">
        <v>1037</v>
      </c>
      <c r="B888" s="10">
        <v>3281</v>
      </c>
      <c r="C888" s="10">
        <v>471</v>
      </c>
      <c r="D888" s="10">
        <v>7</v>
      </c>
      <c r="E888" s="11" t="s">
        <v>45</v>
      </c>
      <c r="F888" s="11" t="s">
        <v>60</v>
      </c>
      <c r="G888" t="s">
        <v>40</v>
      </c>
      <c r="H888" s="13">
        <v>45287</v>
      </c>
      <c r="I888" s="14" t="s">
        <v>1038</v>
      </c>
      <c r="J888" t="s">
        <v>42</v>
      </c>
      <c r="K888" t="s">
        <v>43</v>
      </c>
      <c r="L888" s="12" t="s">
        <v>102</v>
      </c>
    </row>
    <row r="889" spans="1:12" x14ac:dyDescent="0.35">
      <c r="A889" t="s">
        <v>1037</v>
      </c>
      <c r="B889" s="10">
        <v>3281</v>
      </c>
      <c r="C889" s="10">
        <v>471</v>
      </c>
      <c r="D889" s="10">
        <v>7</v>
      </c>
      <c r="E889" s="11" t="s">
        <v>45</v>
      </c>
      <c r="F889" s="11" t="s">
        <v>60</v>
      </c>
      <c r="G889" t="s">
        <v>40</v>
      </c>
      <c r="H889" s="13">
        <v>45102</v>
      </c>
      <c r="I889" s="14" t="s">
        <v>1039</v>
      </c>
      <c r="J889" t="s">
        <v>21</v>
      </c>
      <c r="K889" t="s">
        <v>172</v>
      </c>
      <c r="L889" s="12" t="s">
        <v>19</v>
      </c>
    </row>
    <row r="890" spans="1:12" x14ac:dyDescent="0.35">
      <c r="A890" t="s">
        <v>1040</v>
      </c>
      <c r="B890" s="10">
        <v>8681</v>
      </c>
      <c r="C890" s="10">
        <v>2458</v>
      </c>
      <c r="D890" s="10">
        <v>9</v>
      </c>
      <c r="E890" s="11" t="s">
        <v>30</v>
      </c>
      <c r="F890" s="11" t="s">
        <v>31</v>
      </c>
      <c r="G890" t="s">
        <v>47</v>
      </c>
      <c r="H890" s="13">
        <v>44075</v>
      </c>
      <c r="I890" s="14" t="s">
        <v>1041</v>
      </c>
      <c r="J890" t="s">
        <v>25</v>
      </c>
      <c r="K890" t="s">
        <v>51</v>
      </c>
      <c r="L890" s="12" t="s">
        <v>389</v>
      </c>
    </row>
    <row r="891" spans="1:12" x14ac:dyDescent="0.35">
      <c r="A891" t="s">
        <v>1042</v>
      </c>
      <c r="B891" s="10">
        <v>6195</v>
      </c>
      <c r="C891" s="10">
        <v>1556</v>
      </c>
      <c r="D891" s="10">
        <v>18</v>
      </c>
      <c r="E891" s="11" t="s">
        <v>45</v>
      </c>
      <c r="F891" s="11" t="s">
        <v>60</v>
      </c>
      <c r="G891" t="s">
        <v>40</v>
      </c>
      <c r="H891" s="13">
        <v>45689</v>
      </c>
      <c r="I891" s="14" t="s">
        <v>1043</v>
      </c>
      <c r="J891" t="s">
        <v>21</v>
      </c>
      <c r="K891" t="s">
        <v>63</v>
      </c>
      <c r="L891" s="12" t="s">
        <v>73</v>
      </c>
    </row>
    <row r="892" spans="1:12" x14ac:dyDescent="0.35">
      <c r="A892" t="s">
        <v>1044</v>
      </c>
      <c r="B892" s="10">
        <v>3877</v>
      </c>
      <c r="C892" s="10">
        <v>481</v>
      </c>
      <c r="D892" s="10">
        <v>16</v>
      </c>
      <c r="E892" s="11" t="s">
        <v>45</v>
      </c>
      <c r="F892" s="11" t="s">
        <v>49</v>
      </c>
      <c r="G892" t="s">
        <v>32</v>
      </c>
      <c r="H892" s="13">
        <v>45129</v>
      </c>
      <c r="I892" s="14" t="s">
        <v>1045</v>
      </c>
      <c r="J892" t="s">
        <v>25</v>
      </c>
      <c r="K892" t="s">
        <v>68</v>
      </c>
      <c r="L892" s="12" t="s">
        <v>105</v>
      </c>
    </row>
    <row r="893" spans="1:12" x14ac:dyDescent="0.35">
      <c r="A893" t="s">
        <v>1044</v>
      </c>
      <c r="B893" s="10">
        <v>3877</v>
      </c>
      <c r="C893" s="10">
        <v>481</v>
      </c>
      <c r="D893" s="10">
        <v>16</v>
      </c>
      <c r="E893" s="11" t="s">
        <v>45</v>
      </c>
      <c r="F893" s="11" t="s">
        <v>49</v>
      </c>
      <c r="G893" t="s">
        <v>32</v>
      </c>
      <c r="H893" s="13">
        <v>44596</v>
      </c>
      <c r="I893" s="14" t="s">
        <v>1046</v>
      </c>
      <c r="J893" t="s">
        <v>25</v>
      </c>
      <c r="K893" t="s">
        <v>51</v>
      </c>
      <c r="L893" s="12" t="s">
        <v>137</v>
      </c>
    </row>
    <row r="894" spans="1:12" x14ac:dyDescent="0.35">
      <c r="A894" t="s">
        <v>1047</v>
      </c>
      <c r="B894" s="10">
        <v>9369</v>
      </c>
      <c r="C894" s="10">
        <v>3297</v>
      </c>
      <c r="D894" s="10">
        <v>6</v>
      </c>
      <c r="E894" s="11" t="s">
        <v>13</v>
      </c>
      <c r="F894" s="11" t="s">
        <v>28</v>
      </c>
      <c r="G894" t="s">
        <v>32</v>
      </c>
      <c r="H894" s="13">
        <v>45196</v>
      </c>
      <c r="I894" s="14" t="s">
        <v>1048</v>
      </c>
      <c r="J894" t="s">
        <v>17</v>
      </c>
      <c r="K894" t="s">
        <v>34</v>
      </c>
      <c r="L894" s="12" t="s">
        <v>273</v>
      </c>
    </row>
    <row r="895" spans="1:12" x14ac:dyDescent="0.35">
      <c r="A895" t="s">
        <v>1047</v>
      </c>
      <c r="B895" s="10">
        <v>9369</v>
      </c>
      <c r="C895" s="10">
        <v>3297</v>
      </c>
      <c r="D895" s="10">
        <v>6</v>
      </c>
      <c r="E895" s="11" t="s">
        <v>13</v>
      </c>
      <c r="F895" s="11" t="s">
        <v>28</v>
      </c>
      <c r="G895" t="s">
        <v>32</v>
      </c>
      <c r="H895" s="13">
        <v>45687</v>
      </c>
      <c r="I895" s="14" t="s">
        <v>1049</v>
      </c>
      <c r="J895" t="s">
        <v>25</v>
      </c>
      <c r="K895" t="s">
        <v>51</v>
      </c>
      <c r="L895" s="12" t="s">
        <v>308</v>
      </c>
    </row>
    <row r="896" spans="1:12" x14ac:dyDescent="0.35">
      <c r="A896" t="s">
        <v>1047</v>
      </c>
      <c r="B896" s="10">
        <v>8680</v>
      </c>
      <c r="C896" s="10">
        <v>4068</v>
      </c>
      <c r="D896" s="10">
        <v>20</v>
      </c>
      <c r="E896" s="11" t="s">
        <v>13</v>
      </c>
      <c r="F896" s="11" t="s">
        <v>28</v>
      </c>
      <c r="G896" t="s">
        <v>47</v>
      </c>
      <c r="H896" s="13">
        <v>45196</v>
      </c>
      <c r="I896" s="14" t="s">
        <v>1048</v>
      </c>
      <c r="J896" t="s">
        <v>17</v>
      </c>
      <c r="K896" t="s">
        <v>34</v>
      </c>
      <c r="L896" s="12" t="s">
        <v>273</v>
      </c>
    </row>
    <row r="897" spans="1:12" x14ac:dyDescent="0.35">
      <c r="A897" t="s">
        <v>1047</v>
      </c>
      <c r="B897" s="10">
        <v>8680</v>
      </c>
      <c r="C897" s="10">
        <v>4068</v>
      </c>
      <c r="D897" s="10">
        <v>20</v>
      </c>
      <c r="E897" s="11" t="s">
        <v>13</v>
      </c>
      <c r="F897" s="11" t="s">
        <v>28</v>
      </c>
      <c r="G897" t="s">
        <v>47</v>
      </c>
      <c r="H897" s="13">
        <v>45687</v>
      </c>
      <c r="I897" s="14" t="s">
        <v>1049</v>
      </c>
      <c r="J897" t="s">
        <v>25</v>
      </c>
      <c r="K897" t="s">
        <v>51</v>
      </c>
      <c r="L897" s="12" t="s">
        <v>308</v>
      </c>
    </row>
    <row r="898" spans="1:12" x14ac:dyDescent="0.35">
      <c r="A898" t="s">
        <v>1047</v>
      </c>
      <c r="B898" s="10">
        <v>3067</v>
      </c>
      <c r="C898" s="10">
        <v>1475</v>
      </c>
      <c r="D898" s="10">
        <v>8</v>
      </c>
      <c r="E898" s="11" t="s">
        <v>13</v>
      </c>
      <c r="F898" s="11" t="s">
        <v>39</v>
      </c>
      <c r="G898" t="s">
        <v>15</v>
      </c>
      <c r="H898" s="13">
        <v>45196</v>
      </c>
      <c r="I898" s="14" t="s">
        <v>1048</v>
      </c>
      <c r="J898" t="s">
        <v>17</v>
      </c>
      <c r="K898" t="s">
        <v>34</v>
      </c>
      <c r="L898" s="12" t="s">
        <v>273</v>
      </c>
    </row>
    <row r="899" spans="1:12" x14ac:dyDescent="0.35">
      <c r="A899" t="s">
        <v>1047</v>
      </c>
      <c r="B899" s="10">
        <v>3067</v>
      </c>
      <c r="C899" s="10">
        <v>1475</v>
      </c>
      <c r="D899" s="10">
        <v>8</v>
      </c>
      <c r="E899" s="11" t="s">
        <v>13</v>
      </c>
      <c r="F899" s="11" t="s">
        <v>39</v>
      </c>
      <c r="G899" t="s">
        <v>15</v>
      </c>
      <c r="H899" s="13">
        <v>45687</v>
      </c>
      <c r="I899" s="14" t="s">
        <v>1049</v>
      </c>
      <c r="J899" t="s">
        <v>25</v>
      </c>
      <c r="K899" t="s">
        <v>51</v>
      </c>
      <c r="L899" s="12" t="s">
        <v>308</v>
      </c>
    </row>
    <row r="900" spans="1:12" x14ac:dyDescent="0.35">
      <c r="A900" t="s">
        <v>1050</v>
      </c>
      <c r="B900" s="10">
        <v>9002</v>
      </c>
      <c r="C900" s="10">
        <v>4197</v>
      </c>
      <c r="D900" s="10">
        <v>2</v>
      </c>
      <c r="E900" s="11" t="s">
        <v>30</v>
      </c>
      <c r="F900" s="11" t="s">
        <v>57</v>
      </c>
      <c r="G900" t="s">
        <v>40</v>
      </c>
      <c r="H900" s="13">
        <v>45672</v>
      </c>
      <c r="I900" s="14" t="s">
        <v>1051</v>
      </c>
      <c r="J900" t="s">
        <v>98</v>
      </c>
      <c r="K900" t="s">
        <v>107</v>
      </c>
      <c r="L900" s="12" t="s">
        <v>308</v>
      </c>
    </row>
    <row r="901" spans="1:12" x14ac:dyDescent="0.35">
      <c r="A901" t="s">
        <v>1050</v>
      </c>
      <c r="B901" s="10">
        <v>9002</v>
      </c>
      <c r="C901" s="10">
        <v>4197</v>
      </c>
      <c r="D901" s="10">
        <v>2</v>
      </c>
      <c r="E901" s="11" t="s">
        <v>30</v>
      </c>
      <c r="F901" s="11" t="s">
        <v>57</v>
      </c>
      <c r="G901" t="s">
        <v>40</v>
      </c>
      <c r="H901" s="13">
        <v>44283</v>
      </c>
      <c r="I901" s="14" t="s">
        <v>1052</v>
      </c>
      <c r="J901" t="s">
        <v>98</v>
      </c>
      <c r="K901" t="s">
        <v>99</v>
      </c>
      <c r="L901" s="12" t="s">
        <v>167</v>
      </c>
    </row>
    <row r="902" spans="1:12" x14ac:dyDescent="0.35">
      <c r="A902" t="s">
        <v>1053</v>
      </c>
      <c r="B902" s="10">
        <v>7105</v>
      </c>
      <c r="C902" s="10">
        <v>2782</v>
      </c>
      <c r="D902" s="10">
        <v>19</v>
      </c>
      <c r="E902" s="11" t="s">
        <v>30</v>
      </c>
      <c r="F902" s="11" t="s">
        <v>31</v>
      </c>
      <c r="G902" t="s">
        <v>65</v>
      </c>
      <c r="H902" s="13">
        <v>44555</v>
      </c>
      <c r="I902" s="14" t="s">
        <v>1054</v>
      </c>
      <c r="J902" t="s">
        <v>98</v>
      </c>
      <c r="K902" t="s">
        <v>99</v>
      </c>
      <c r="L902" s="12" t="s">
        <v>90</v>
      </c>
    </row>
    <row r="903" spans="1:12" x14ac:dyDescent="0.35">
      <c r="A903" t="s">
        <v>1055</v>
      </c>
      <c r="B903" s="10">
        <v>5317</v>
      </c>
      <c r="C903" s="10">
        <v>1345</v>
      </c>
      <c r="D903" s="10">
        <v>18</v>
      </c>
      <c r="E903" s="11" t="s">
        <v>45</v>
      </c>
      <c r="F903" s="11" t="s">
        <v>49</v>
      </c>
      <c r="G903" t="s">
        <v>32</v>
      </c>
      <c r="H903" s="13">
        <v>44960</v>
      </c>
      <c r="I903" s="14" t="s">
        <v>1056</v>
      </c>
      <c r="J903" t="s">
        <v>98</v>
      </c>
      <c r="K903" t="s">
        <v>99</v>
      </c>
      <c r="L903" s="12" t="s">
        <v>93</v>
      </c>
    </row>
    <row r="904" spans="1:12" x14ac:dyDescent="0.35">
      <c r="A904" t="s">
        <v>1055</v>
      </c>
      <c r="B904" s="10">
        <v>5317</v>
      </c>
      <c r="C904" s="10">
        <v>1345</v>
      </c>
      <c r="D904" s="10">
        <v>18</v>
      </c>
      <c r="E904" s="11" t="s">
        <v>45</v>
      </c>
      <c r="F904" s="11" t="s">
        <v>49</v>
      </c>
      <c r="G904" t="s">
        <v>32</v>
      </c>
      <c r="H904" s="13">
        <v>45044</v>
      </c>
      <c r="I904" s="14" t="s">
        <v>1057</v>
      </c>
      <c r="J904" t="s">
        <v>17</v>
      </c>
      <c r="K904" t="s">
        <v>34</v>
      </c>
      <c r="L904" s="12" t="s">
        <v>145</v>
      </c>
    </row>
    <row r="905" spans="1:12" x14ac:dyDescent="0.35">
      <c r="A905" t="s">
        <v>1055</v>
      </c>
      <c r="B905" s="10">
        <v>5317</v>
      </c>
      <c r="C905" s="10">
        <v>1345</v>
      </c>
      <c r="D905" s="10">
        <v>18</v>
      </c>
      <c r="E905" s="11" t="s">
        <v>45</v>
      </c>
      <c r="F905" s="11" t="s">
        <v>49</v>
      </c>
      <c r="G905" t="s">
        <v>32</v>
      </c>
      <c r="H905" s="13">
        <v>45618</v>
      </c>
      <c r="I905" s="14" t="s">
        <v>1058</v>
      </c>
      <c r="J905" t="s">
        <v>42</v>
      </c>
      <c r="K905" t="s">
        <v>92</v>
      </c>
      <c r="L905" s="12" t="s">
        <v>255</v>
      </c>
    </row>
    <row r="906" spans="1:12" x14ac:dyDescent="0.35">
      <c r="A906" t="s">
        <v>1055</v>
      </c>
      <c r="B906" s="10">
        <v>6304</v>
      </c>
      <c r="C906" s="10">
        <v>766</v>
      </c>
      <c r="D906" s="10">
        <v>14</v>
      </c>
      <c r="E906" s="11" t="s">
        <v>45</v>
      </c>
      <c r="F906" s="11" t="s">
        <v>46</v>
      </c>
      <c r="G906" t="s">
        <v>40</v>
      </c>
      <c r="H906" s="13">
        <v>44960</v>
      </c>
      <c r="I906" s="14" t="s">
        <v>1056</v>
      </c>
      <c r="J906" t="s">
        <v>98</v>
      </c>
      <c r="K906" t="s">
        <v>99</v>
      </c>
      <c r="L906" s="12" t="s">
        <v>93</v>
      </c>
    </row>
    <row r="907" spans="1:12" x14ac:dyDescent="0.35">
      <c r="A907" t="s">
        <v>1055</v>
      </c>
      <c r="B907" s="10">
        <v>6304</v>
      </c>
      <c r="C907" s="10">
        <v>766</v>
      </c>
      <c r="D907" s="10">
        <v>14</v>
      </c>
      <c r="E907" s="11" t="s">
        <v>45</v>
      </c>
      <c r="F907" s="11" t="s">
        <v>46</v>
      </c>
      <c r="G907" t="s">
        <v>40</v>
      </c>
      <c r="H907" s="13">
        <v>45044</v>
      </c>
      <c r="I907" s="14" t="s">
        <v>1057</v>
      </c>
      <c r="J907" t="s">
        <v>17</v>
      </c>
      <c r="K907" t="s">
        <v>34</v>
      </c>
      <c r="L907" s="12" t="s">
        <v>145</v>
      </c>
    </row>
    <row r="908" spans="1:12" x14ac:dyDescent="0.35">
      <c r="A908" t="s">
        <v>1055</v>
      </c>
      <c r="B908" s="10">
        <v>6304</v>
      </c>
      <c r="C908" s="10">
        <v>766</v>
      </c>
      <c r="D908" s="10">
        <v>14</v>
      </c>
      <c r="E908" s="11" t="s">
        <v>45</v>
      </c>
      <c r="F908" s="11" t="s">
        <v>46</v>
      </c>
      <c r="G908" t="s">
        <v>40</v>
      </c>
      <c r="H908" s="13">
        <v>45618</v>
      </c>
      <c r="I908" s="14" t="s">
        <v>1058</v>
      </c>
      <c r="J908" t="s">
        <v>42</v>
      </c>
      <c r="K908" t="s">
        <v>92</v>
      </c>
      <c r="L908" s="12" t="s">
        <v>255</v>
      </c>
    </row>
    <row r="909" spans="1:12" x14ac:dyDescent="0.35">
      <c r="A909" t="s">
        <v>1059</v>
      </c>
      <c r="B909" s="10">
        <v>9565</v>
      </c>
      <c r="C909" s="10">
        <v>1691</v>
      </c>
      <c r="D909" s="10">
        <v>3</v>
      </c>
      <c r="E909" s="11" t="s">
        <v>30</v>
      </c>
      <c r="F909" s="11" t="s">
        <v>64</v>
      </c>
      <c r="G909" t="s">
        <v>32</v>
      </c>
      <c r="H909" s="13">
        <v>45475</v>
      </c>
      <c r="I909" s="14" t="s">
        <v>1060</v>
      </c>
      <c r="J909" t="s">
        <v>21</v>
      </c>
      <c r="K909" t="s">
        <v>63</v>
      </c>
      <c r="L909" s="12" t="s">
        <v>215</v>
      </c>
    </row>
    <row r="910" spans="1:12" x14ac:dyDescent="0.35">
      <c r="A910" t="s">
        <v>1059</v>
      </c>
      <c r="B910" s="10">
        <v>8245</v>
      </c>
      <c r="C910" s="10">
        <v>324</v>
      </c>
      <c r="D910" s="10">
        <v>11</v>
      </c>
      <c r="E910" s="11" t="s">
        <v>30</v>
      </c>
      <c r="F910" s="11" t="s">
        <v>64</v>
      </c>
      <c r="G910" t="s">
        <v>40</v>
      </c>
      <c r="H910" s="13">
        <v>45475</v>
      </c>
      <c r="I910" s="14" t="s">
        <v>1060</v>
      </c>
      <c r="J910" t="s">
        <v>21</v>
      </c>
      <c r="K910" t="s">
        <v>63</v>
      </c>
      <c r="L910" s="12" t="s">
        <v>215</v>
      </c>
    </row>
    <row r="911" spans="1:12" x14ac:dyDescent="0.35">
      <c r="A911" t="s">
        <v>1061</v>
      </c>
      <c r="B911" s="10">
        <v>1592</v>
      </c>
      <c r="C911" s="10">
        <v>480</v>
      </c>
      <c r="D911" s="10">
        <v>13</v>
      </c>
      <c r="E911" s="11" t="s">
        <v>13</v>
      </c>
      <c r="F911" s="11" t="s">
        <v>39</v>
      </c>
      <c r="G911" t="s">
        <v>32</v>
      </c>
      <c r="H911" s="13">
        <v>44579</v>
      </c>
      <c r="I911" s="14" t="s">
        <v>1062</v>
      </c>
      <c r="J911" t="s">
        <v>98</v>
      </c>
      <c r="K911" t="s">
        <v>117</v>
      </c>
      <c r="L911" s="12" t="s">
        <v>87</v>
      </c>
    </row>
    <row r="912" spans="1:12" x14ac:dyDescent="0.35">
      <c r="A912" t="s">
        <v>1063</v>
      </c>
      <c r="B912" s="10">
        <v>8400</v>
      </c>
      <c r="C912" s="10">
        <v>267</v>
      </c>
      <c r="D912" s="10">
        <v>5</v>
      </c>
      <c r="E912" s="11" t="s">
        <v>13</v>
      </c>
      <c r="F912" s="11" t="s">
        <v>82</v>
      </c>
      <c r="G912" t="s">
        <v>32</v>
      </c>
      <c r="H912" s="13">
        <v>45573</v>
      </c>
      <c r="I912" s="14" t="s">
        <v>1064</v>
      </c>
      <c r="J912" t="s">
        <v>98</v>
      </c>
      <c r="K912" t="s">
        <v>99</v>
      </c>
      <c r="L912" s="12" t="s">
        <v>360</v>
      </c>
    </row>
    <row r="913" spans="1:12" x14ac:dyDescent="0.35">
      <c r="A913" t="s">
        <v>1063</v>
      </c>
      <c r="B913" s="10">
        <v>4963</v>
      </c>
      <c r="C913" s="10">
        <v>1254</v>
      </c>
      <c r="D913" s="10">
        <v>15</v>
      </c>
      <c r="E913" s="11" t="s">
        <v>30</v>
      </c>
      <c r="F913" s="11" t="s">
        <v>64</v>
      </c>
      <c r="G913" t="s">
        <v>40</v>
      </c>
      <c r="H913" s="13">
        <v>45573</v>
      </c>
      <c r="I913" s="14" t="s">
        <v>1064</v>
      </c>
      <c r="J913" t="s">
        <v>98</v>
      </c>
      <c r="K913" t="s">
        <v>99</v>
      </c>
      <c r="L913" s="12" t="s">
        <v>360</v>
      </c>
    </row>
    <row r="914" spans="1:12" x14ac:dyDescent="0.35">
      <c r="A914" t="s">
        <v>1065</v>
      </c>
      <c r="B914" s="10">
        <v>2472</v>
      </c>
      <c r="C914" s="10">
        <v>211</v>
      </c>
      <c r="D914" s="10">
        <v>5</v>
      </c>
      <c r="E914" s="11" t="s">
        <v>13</v>
      </c>
      <c r="F914" s="11" t="s">
        <v>28</v>
      </c>
      <c r="G914" t="s">
        <v>65</v>
      </c>
      <c r="H914" s="13">
        <v>44003</v>
      </c>
      <c r="I914" s="14" t="s">
        <v>1066</v>
      </c>
      <c r="J914" t="s">
        <v>42</v>
      </c>
      <c r="K914" t="s">
        <v>75</v>
      </c>
      <c r="L914" s="12" t="s">
        <v>313</v>
      </c>
    </row>
    <row r="915" spans="1:12" x14ac:dyDescent="0.35">
      <c r="A915" t="s">
        <v>1067</v>
      </c>
      <c r="B915" s="10">
        <v>9132</v>
      </c>
      <c r="C915" s="10">
        <v>3096</v>
      </c>
      <c r="D915" s="10">
        <v>14</v>
      </c>
      <c r="E915" s="11" t="s">
        <v>45</v>
      </c>
      <c r="F915" s="11" t="s">
        <v>49</v>
      </c>
      <c r="G915" t="s">
        <v>32</v>
      </c>
      <c r="H915" s="13">
        <v>45274</v>
      </c>
      <c r="I915" s="14" t="s">
        <v>1068</v>
      </c>
      <c r="J915" t="s">
        <v>17</v>
      </c>
      <c r="K915" t="s">
        <v>150</v>
      </c>
      <c r="L915" s="12" t="s">
        <v>102</v>
      </c>
    </row>
    <row r="916" spans="1:12" x14ac:dyDescent="0.35">
      <c r="A916" t="s">
        <v>1069</v>
      </c>
      <c r="B916" s="10">
        <v>8305</v>
      </c>
      <c r="C916" s="10">
        <v>1577</v>
      </c>
      <c r="D916" s="10">
        <v>6</v>
      </c>
      <c r="E916" s="11" t="s">
        <v>30</v>
      </c>
      <c r="F916" s="11" t="s">
        <v>78</v>
      </c>
      <c r="G916" t="s">
        <v>32</v>
      </c>
      <c r="H916" s="13">
        <v>44181</v>
      </c>
      <c r="I916" s="14" t="s">
        <v>1070</v>
      </c>
      <c r="J916" t="s">
        <v>25</v>
      </c>
      <c r="K916" t="s">
        <v>68</v>
      </c>
      <c r="L916" s="12" t="s">
        <v>287</v>
      </c>
    </row>
    <row r="917" spans="1:12" x14ac:dyDescent="0.35">
      <c r="A917" t="s">
        <v>1071</v>
      </c>
      <c r="B917" s="10">
        <v>1010</v>
      </c>
      <c r="C917" s="10">
        <v>58</v>
      </c>
      <c r="D917" s="10">
        <v>19</v>
      </c>
      <c r="E917" s="11" t="s">
        <v>13</v>
      </c>
      <c r="F917" s="11" t="s">
        <v>14</v>
      </c>
      <c r="G917" t="s">
        <v>65</v>
      </c>
      <c r="H917" s="13">
        <v>45731</v>
      </c>
      <c r="I917" s="14" t="s">
        <v>1072</v>
      </c>
      <c r="J917" t="s">
        <v>17</v>
      </c>
      <c r="K917" t="s">
        <v>150</v>
      </c>
      <c r="L917" s="12" t="s">
        <v>157</v>
      </c>
    </row>
    <row r="918" spans="1:12" x14ac:dyDescent="0.35">
      <c r="A918" t="s">
        <v>1073</v>
      </c>
      <c r="B918" s="10">
        <v>4544</v>
      </c>
      <c r="C918" s="10">
        <v>1726</v>
      </c>
      <c r="D918" s="10">
        <v>9</v>
      </c>
      <c r="E918" s="11" t="s">
        <v>13</v>
      </c>
      <c r="F918" s="11" t="s">
        <v>82</v>
      </c>
      <c r="G918" t="s">
        <v>40</v>
      </c>
      <c r="H918" s="13">
        <v>45525</v>
      </c>
      <c r="I918" s="14" t="s">
        <v>1074</v>
      </c>
      <c r="J918" t="s">
        <v>71</v>
      </c>
      <c r="K918" t="s">
        <v>72</v>
      </c>
      <c r="L918" s="12" t="s">
        <v>114</v>
      </c>
    </row>
    <row r="919" spans="1:12" x14ac:dyDescent="0.35">
      <c r="A919" t="s">
        <v>1073</v>
      </c>
      <c r="B919" s="10">
        <v>5900</v>
      </c>
      <c r="C919" s="10">
        <v>1738</v>
      </c>
      <c r="D919" s="10">
        <v>20</v>
      </c>
      <c r="E919" s="11" t="s">
        <v>13</v>
      </c>
      <c r="F919" s="11" t="s">
        <v>82</v>
      </c>
      <c r="G919" t="s">
        <v>15</v>
      </c>
      <c r="H919" s="13">
        <v>45525</v>
      </c>
      <c r="I919" s="14" t="s">
        <v>1074</v>
      </c>
      <c r="J919" t="s">
        <v>71</v>
      </c>
      <c r="K919" t="s">
        <v>72</v>
      </c>
      <c r="L919" s="12" t="s">
        <v>114</v>
      </c>
    </row>
    <row r="920" spans="1:12" x14ac:dyDescent="0.35">
      <c r="A920" t="s">
        <v>1075</v>
      </c>
      <c r="B920" s="10">
        <v>8861</v>
      </c>
      <c r="C920" s="10">
        <v>3381</v>
      </c>
      <c r="D920" s="10">
        <v>19</v>
      </c>
      <c r="E920" s="11" t="s">
        <v>30</v>
      </c>
      <c r="F920" s="11" t="s">
        <v>57</v>
      </c>
      <c r="G920" t="s">
        <v>47</v>
      </c>
      <c r="H920" s="13">
        <v>44343</v>
      </c>
      <c r="I920" s="14" t="s">
        <v>1076</v>
      </c>
      <c r="J920" t="s">
        <v>42</v>
      </c>
      <c r="K920" t="s">
        <v>75</v>
      </c>
      <c r="L920" s="12" t="s">
        <v>108</v>
      </c>
    </row>
    <row r="921" spans="1:12" x14ac:dyDescent="0.35">
      <c r="A921" t="s">
        <v>1077</v>
      </c>
      <c r="B921" s="10">
        <v>8158</v>
      </c>
      <c r="C921" s="10">
        <v>2052</v>
      </c>
      <c r="D921" s="10">
        <v>13</v>
      </c>
      <c r="E921" s="11" t="s">
        <v>13</v>
      </c>
      <c r="F921" s="11" t="s">
        <v>82</v>
      </c>
      <c r="G921" t="s">
        <v>32</v>
      </c>
      <c r="H921" s="13">
        <v>44095</v>
      </c>
      <c r="I921" s="14" t="s">
        <v>1078</v>
      </c>
      <c r="J921" t="s">
        <v>98</v>
      </c>
      <c r="K921" t="s">
        <v>107</v>
      </c>
      <c r="L921" s="12" t="s">
        <v>389</v>
      </c>
    </row>
    <row r="922" spans="1:12" x14ac:dyDescent="0.35">
      <c r="A922" t="s">
        <v>1079</v>
      </c>
      <c r="B922" s="10">
        <v>3411</v>
      </c>
      <c r="C922" s="10">
        <v>1704</v>
      </c>
      <c r="D922" s="10">
        <v>14</v>
      </c>
      <c r="E922" s="11" t="s">
        <v>30</v>
      </c>
      <c r="F922" s="11" t="s">
        <v>31</v>
      </c>
      <c r="G922" t="s">
        <v>15</v>
      </c>
      <c r="H922" s="13">
        <v>45668</v>
      </c>
      <c r="I922" s="14" t="s">
        <v>1080</v>
      </c>
      <c r="J922" t="s">
        <v>42</v>
      </c>
      <c r="K922" t="s">
        <v>43</v>
      </c>
      <c r="L922" s="12" t="s">
        <v>308</v>
      </c>
    </row>
    <row r="923" spans="1:12" x14ac:dyDescent="0.35">
      <c r="A923" t="s">
        <v>1081</v>
      </c>
      <c r="B923" s="10">
        <v>9406</v>
      </c>
      <c r="C923" s="10">
        <v>1137</v>
      </c>
      <c r="D923" s="10">
        <v>16</v>
      </c>
      <c r="E923" s="11" t="s">
        <v>30</v>
      </c>
      <c r="F923" s="11" t="s">
        <v>57</v>
      </c>
      <c r="G923" t="s">
        <v>15</v>
      </c>
      <c r="H923" s="13">
        <v>44489</v>
      </c>
      <c r="I923" s="14" t="s">
        <v>1082</v>
      </c>
      <c r="J923" t="s">
        <v>71</v>
      </c>
      <c r="K923" t="s">
        <v>138</v>
      </c>
      <c r="L923" s="12" t="s">
        <v>37</v>
      </c>
    </row>
    <row r="924" spans="1:12" x14ac:dyDescent="0.35">
      <c r="A924" t="s">
        <v>1081</v>
      </c>
      <c r="B924" s="10">
        <v>1156</v>
      </c>
      <c r="C924" s="10">
        <v>74</v>
      </c>
      <c r="D924" s="10">
        <v>15</v>
      </c>
      <c r="E924" s="11" t="s">
        <v>13</v>
      </c>
      <c r="F924" s="11" t="s">
        <v>28</v>
      </c>
      <c r="G924" t="s">
        <v>40</v>
      </c>
      <c r="H924" s="13">
        <v>44489</v>
      </c>
      <c r="I924" s="14" t="s">
        <v>1082</v>
      </c>
      <c r="J924" t="s">
        <v>71</v>
      </c>
      <c r="K924" t="s">
        <v>138</v>
      </c>
      <c r="L924" s="12" t="s">
        <v>37</v>
      </c>
    </row>
    <row r="925" spans="1:12" x14ac:dyDescent="0.35">
      <c r="A925" t="s">
        <v>1083</v>
      </c>
      <c r="B925" s="10">
        <v>5354</v>
      </c>
      <c r="C925" s="10">
        <v>743</v>
      </c>
      <c r="D925" s="10">
        <v>10</v>
      </c>
      <c r="E925" s="11" t="s">
        <v>45</v>
      </c>
      <c r="F925" s="11" t="s">
        <v>109</v>
      </c>
      <c r="G925" t="s">
        <v>15</v>
      </c>
      <c r="H925" s="13">
        <v>44488</v>
      </c>
      <c r="I925" s="14" t="s">
        <v>1084</v>
      </c>
      <c r="J925" t="s">
        <v>21</v>
      </c>
      <c r="K925" t="s">
        <v>63</v>
      </c>
      <c r="L925" s="12" t="s">
        <v>37</v>
      </c>
    </row>
    <row r="926" spans="1:12" x14ac:dyDescent="0.35">
      <c r="A926" t="s">
        <v>1085</v>
      </c>
      <c r="B926" s="10">
        <v>8780</v>
      </c>
      <c r="C926" s="10">
        <v>3430</v>
      </c>
      <c r="D926" s="10">
        <v>4</v>
      </c>
      <c r="E926" s="11" t="s">
        <v>13</v>
      </c>
      <c r="F926" s="11" t="s">
        <v>14</v>
      </c>
      <c r="G926" t="s">
        <v>47</v>
      </c>
      <c r="H926" s="13">
        <v>45480</v>
      </c>
      <c r="I926" s="14" t="s">
        <v>1086</v>
      </c>
      <c r="J926" t="s">
        <v>71</v>
      </c>
      <c r="K926" t="s">
        <v>86</v>
      </c>
      <c r="L926" s="12" t="s">
        <v>215</v>
      </c>
    </row>
    <row r="927" spans="1:12" x14ac:dyDescent="0.35">
      <c r="A927" t="s">
        <v>1085</v>
      </c>
      <c r="B927" s="10">
        <v>8780</v>
      </c>
      <c r="C927" s="10">
        <v>3430</v>
      </c>
      <c r="D927" s="10">
        <v>4</v>
      </c>
      <c r="E927" s="11" t="s">
        <v>13</v>
      </c>
      <c r="F927" s="11" t="s">
        <v>14</v>
      </c>
      <c r="G927" t="s">
        <v>47</v>
      </c>
      <c r="H927" s="13">
        <v>45132</v>
      </c>
      <c r="I927" s="14" t="s">
        <v>1087</v>
      </c>
      <c r="J927" t="s">
        <v>71</v>
      </c>
      <c r="K927" t="s">
        <v>86</v>
      </c>
      <c r="L927" s="12" t="s">
        <v>105</v>
      </c>
    </row>
    <row r="928" spans="1:12" x14ac:dyDescent="0.35">
      <c r="A928" t="s">
        <v>1088</v>
      </c>
      <c r="B928" s="10">
        <v>6783</v>
      </c>
      <c r="C928" s="10">
        <v>3306</v>
      </c>
      <c r="D928" s="10">
        <v>8</v>
      </c>
      <c r="E928" s="11" t="s">
        <v>45</v>
      </c>
      <c r="F928" s="11" t="s">
        <v>60</v>
      </c>
      <c r="G928" t="s">
        <v>32</v>
      </c>
      <c r="H928" s="13">
        <v>43937</v>
      </c>
      <c r="I928" s="14" t="s">
        <v>1089</v>
      </c>
      <c r="J928" t="s">
        <v>98</v>
      </c>
      <c r="K928" t="s">
        <v>99</v>
      </c>
      <c r="L928" s="12" t="s">
        <v>162</v>
      </c>
    </row>
    <row r="929" spans="1:12" x14ac:dyDescent="0.35">
      <c r="A929" t="s">
        <v>1090</v>
      </c>
      <c r="B929" s="10">
        <v>1778</v>
      </c>
      <c r="C929" s="10">
        <v>285</v>
      </c>
      <c r="D929" s="10">
        <v>4</v>
      </c>
      <c r="E929" s="11" t="s">
        <v>30</v>
      </c>
      <c r="F929" s="11" t="s">
        <v>31</v>
      </c>
      <c r="G929" t="s">
        <v>47</v>
      </c>
      <c r="H929" s="13">
        <v>44016</v>
      </c>
      <c r="I929" s="14" t="s">
        <v>1091</v>
      </c>
      <c r="J929" t="s">
        <v>25</v>
      </c>
      <c r="K929" t="s">
        <v>51</v>
      </c>
      <c r="L929" s="12" t="s">
        <v>462</v>
      </c>
    </row>
    <row r="930" spans="1:12" x14ac:dyDescent="0.35">
      <c r="A930" t="s">
        <v>1092</v>
      </c>
      <c r="B930" s="10">
        <v>9399</v>
      </c>
      <c r="C930" s="10">
        <v>1949</v>
      </c>
      <c r="D930" s="10">
        <v>12</v>
      </c>
      <c r="E930" s="11" t="s">
        <v>13</v>
      </c>
      <c r="F930" s="11" t="s">
        <v>28</v>
      </c>
      <c r="G930" t="s">
        <v>15</v>
      </c>
      <c r="H930" s="13">
        <v>44697</v>
      </c>
      <c r="I930" s="14" t="s">
        <v>1093</v>
      </c>
      <c r="J930" t="s">
        <v>25</v>
      </c>
      <c r="K930" t="s">
        <v>68</v>
      </c>
      <c r="L930" s="12" t="s">
        <v>180</v>
      </c>
    </row>
    <row r="931" spans="1:12" x14ac:dyDescent="0.35">
      <c r="A931" t="s">
        <v>1092</v>
      </c>
      <c r="B931" s="10">
        <v>7957</v>
      </c>
      <c r="C931" s="10">
        <v>965</v>
      </c>
      <c r="D931" s="10">
        <v>4</v>
      </c>
      <c r="E931" s="11" t="s">
        <v>45</v>
      </c>
      <c r="F931" s="11" t="s">
        <v>60</v>
      </c>
      <c r="G931" t="s">
        <v>47</v>
      </c>
      <c r="H931" s="13">
        <v>44697</v>
      </c>
      <c r="I931" s="14" t="s">
        <v>1093</v>
      </c>
      <c r="J931" t="s">
        <v>25</v>
      </c>
      <c r="K931" t="s">
        <v>68</v>
      </c>
      <c r="L931" s="12" t="s">
        <v>180</v>
      </c>
    </row>
    <row r="932" spans="1:12" x14ac:dyDescent="0.35">
      <c r="A932" t="s">
        <v>1094</v>
      </c>
      <c r="B932" s="10">
        <v>1638</v>
      </c>
      <c r="C932" s="10">
        <v>661</v>
      </c>
      <c r="D932" s="10">
        <v>13</v>
      </c>
      <c r="E932" s="11" t="s">
        <v>45</v>
      </c>
      <c r="F932" s="11" t="s">
        <v>49</v>
      </c>
      <c r="G932" t="s">
        <v>40</v>
      </c>
      <c r="H932" s="13">
        <v>45255</v>
      </c>
      <c r="I932" s="14" t="s">
        <v>1095</v>
      </c>
      <c r="J932" t="s">
        <v>21</v>
      </c>
      <c r="K932" t="s">
        <v>63</v>
      </c>
      <c r="L932" s="12" t="s">
        <v>52</v>
      </c>
    </row>
    <row r="933" spans="1:12" x14ac:dyDescent="0.35">
      <c r="A933" t="s">
        <v>1096</v>
      </c>
      <c r="B933" s="10">
        <v>1786</v>
      </c>
      <c r="C933" s="10">
        <v>224</v>
      </c>
      <c r="D933" s="10">
        <v>4</v>
      </c>
      <c r="E933" s="11" t="s">
        <v>45</v>
      </c>
      <c r="F933" s="11" t="s">
        <v>46</v>
      </c>
      <c r="G933" t="s">
        <v>65</v>
      </c>
      <c r="H933" s="13">
        <v>44425</v>
      </c>
      <c r="I933" s="14" t="s">
        <v>1097</v>
      </c>
      <c r="J933" t="s">
        <v>71</v>
      </c>
      <c r="K933" t="s">
        <v>72</v>
      </c>
      <c r="L933" s="12" t="s">
        <v>178</v>
      </c>
    </row>
    <row r="934" spans="1:12" x14ac:dyDescent="0.35">
      <c r="A934" t="s">
        <v>1098</v>
      </c>
      <c r="B934" s="10">
        <v>4751</v>
      </c>
      <c r="C934" s="10">
        <v>781</v>
      </c>
      <c r="D934" s="10">
        <v>9</v>
      </c>
      <c r="E934" s="11" t="s">
        <v>30</v>
      </c>
      <c r="F934" s="11" t="s">
        <v>64</v>
      </c>
      <c r="G934" t="s">
        <v>40</v>
      </c>
      <c r="H934" s="13">
        <v>45109</v>
      </c>
      <c r="I934" s="14" t="s">
        <v>1099</v>
      </c>
      <c r="J934" t="s">
        <v>25</v>
      </c>
      <c r="K934" t="s">
        <v>26</v>
      </c>
      <c r="L934" s="12" t="s">
        <v>105</v>
      </c>
    </row>
    <row r="935" spans="1:12" x14ac:dyDescent="0.35">
      <c r="A935" t="s">
        <v>1100</v>
      </c>
      <c r="B935" s="10">
        <v>8979</v>
      </c>
      <c r="C935" s="10">
        <v>4477</v>
      </c>
      <c r="D935" s="10">
        <v>4</v>
      </c>
      <c r="E935" s="11" t="s">
        <v>30</v>
      </c>
      <c r="F935" s="11" t="s">
        <v>64</v>
      </c>
      <c r="G935" t="s">
        <v>47</v>
      </c>
      <c r="H935" s="13">
        <v>44067</v>
      </c>
      <c r="I935" s="14" t="s">
        <v>1101</v>
      </c>
      <c r="J935" t="s">
        <v>21</v>
      </c>
      <c r="K935" t="s">
        <v>22</v>
      </c>
      <c r="L935" s="12" t="s">
        <v>185</v>
      </c>
    </row>
    <row r="936" spans="1:12" x14ac:dyDescent="0.35">
      <c r="A936" t="s">
        <v>1102</v>
      </c>
      <c r="B936" s="10">
        <v>2727</v>
      </c>
      <c r="C936" s="10">
        <v>663</v>
      </c>
      <c r="D936" s="10">
        <v>8</v>
      </c>
      <c r="E936" s="11" t="s">
        <v>13</v>
      </c>
      <c r="F936" s="11" t="s">
        <v>82</v>
      </c>
      <c r="G936" t="s">
        <v>47</v>
      </c>
      <c r="H936" s="13">
        <v>44872</v>
      </c>
      <c r="I936" s="14" t="s">
        <v>1103</v>
      </c>
      <c r="J936" t="s">
        <v>17</v>
      </c>
      <c r="K936" t="s">
        <v>18</v>
      </c>
      <c r="L936" s="12" t="s">
        <v>44</v>
      </c>
    </row>
    <row r="937" spans="1:12" x14ac:dyDescent="0.35">
      <c r="A937" t="s">
        <v>1104</v>
      </c>
      <c r="B937" s="10">
        <v>1093</v>
      </c>
      <c r="C937" s="10">
        <v>397</v>
      </c>
      <c r="D937" s="10">
        <v>17</v>
      </c>
      <c r="E937" s="11" t="s">
        <v>13</v>
      </c>
      <c r="F937" s="11" t="s">
        <v>28</v>
      </c>
      <c r="G937" t="s">
        <v>47</v>
      </c>
      <c r="H937" s="13">
        <v>45378</v>
      </c>
      <c r="I937" s="14" t="s">
        <v>1105</v>
      </c>
      <c r="J937" t="s">
        <v>21</v>
      </c>
      <c r="K937" t="s">
        <v>172</v>
      </c>
      <c r="L937" s="12" t="s">
        <v>338</v>
      </c>
    </row>
    <row r="938" spans="1:12" x14ac:dyDescent="0.35">
      <c r="A938" t="s">
        <v>1104</v>
      </c>
      <c r="B938" s="10">
        <v>1093</v>
      </c>
      <c r="C938" s="10">
        <v>397</v>
      </c>
      <c r="D938" s="10">
        <v>17</v>
      </c>
      <c r="E938" s="11" t="s">
        <v>13</v>
      </c>
      <c r="F938" s="11" t="s">
        <v>28</v>
      </c>
      <c r="G938" t="s">
        <v>47</v>
      </c>
      <c r="H938" s="13">
        <v>45536</v>
      </c>
      <c r="I938" s="14" t="s">
        <v>1106</v>
      </c>
      <c r="J938" t="s">
        <v>25</v>
      </c>
      <c r="K938" t="s">
        <v>26</v>
      </c>
      <c r="L938" s="12" t="s">
        <v>159</v>
      </c>
    </row>
    <row r="939" spans="1:12" x14ac:dyDescent="0.35">
      <c r="A939" t="s">
        <v>1104</v>
      </c>
      <c r="B939" s="10">
        <v>1093</v>
      </c>
      <c r="C939" s="10">
        <v>397</v>
      </c>
      <c r="D939" s="10">
        <v>17</v>
      </c>
      <c r="E939" s="11" t="s">
        <v>13</v>
      </c>
      <c r="F939" s="11" t="s">
        <v>28</v>
      </c>
      <c r="G939" t="s">
        <v>47</v>
      </c>
      <c r="H939" s="13">
        <v>44614</v>
      </c>
      <c r="I939" s="14" t="s">
        <v>1107</v>
      </c>
      <c r="J939" t="s">
        <v>98</v>
      </c>
      <c r="K939" t="s">
        <v>99</v>
      </c>
      <c r="L939" s="12" t="s">
        <v>137</v>
      </c>
    </row>
    <row r="940" spans="1:12" x14ac:dyDescent="0.35">
      <c r="A940" t="s">
        <v>1104</v>
      </c>
      <c r="B940" s="10">
        <v>2636</v>
      </c>
      <c r="C940" s="10">
        <v>88</v>
      </c>
      <c r="D940" s="10">
        <v>11</v>
      </c>
      <c r="E940" s="11" t="s">
        <v>30</v>
      </c>
      <c r="F940" s="11" t="s">
        <v>64</v>
      </c>
      <c r="G940" t="s">
        <v>32</v>
      </c>
      <c r="H940" s="13">
        <v>45378</v>
      </c>
      <c r="I940" s="14" t="s">
        <v>1105</v>
      </c>
      <c r="J940" t="s">
        <v>21</v>
      </c>
      <c r="K940" t="s">
        <v>172</v>
      </c>
      <c r="L940" s="12" t="s">
        <v>338</v>
      </c>
    </row>
    <row r="941" spans="1:12" x14ac:dyDescent="0.35">
      <c r="A941" t="s">
        <v>1104</v>
      </c>
      <c r="B941" s="10">
        <v>2636</v>
      </c>
      <c r="C941" s="10">
        <v>88</v>
      </c>
      <c r="D941" s="10">
        <v>11</v>
      </c>
      <c r="E941" s="11" t="s">
        <v>30</v>
      </c>
      <c r="F941" s="11" t="s">
        <v>64</v>
      </c>
      <c r="G941" t="s">
        <v>32</v>
      </c>
      <c r="H941" s="13">
        <v>45536</v>
      </c>
      <c r="I941" s="14" t="s">
        <v>1106</v>
      </c>
      <c r="J941" t="s">
        <v>25</v>
      </c>
      <c r="K941" t="s">
        <v>26</v>
      </c>
      <c r="L941" s="12" t="s">
        <v>159</v>
      </c>
    </row>
    <row r="942" spans="1:12" x14ac:dyDescent="0.35">
      <c r="A942" t="s">
        <v>1104</v>
      </c>
      <c r="B942" s="10">
        <v>2636</v>
      </c>
      <c r="C942" s="10">
        <v>88</v>
      </c>
      <c r="D942" s="10">
        <v>11</v>
      </c>
      <c r="E942" s="11" t="s">
        <v>30</v>
      </c>
      <c r="F942" s="11" t="s">
        <v>64</v>
      </c>
      <c r="G942" t="s">
        <v>32</v>
      </c>
      <c r="H942" s="13">
        <v>44614</v>
      </c>
      <c r="I942" s="14" t="s">
        <v>1107</v>
      </c>
      <c r="J942" t="s">
        <v>98</v>
      </c>
      <c r="K942" t="s">
        <v>99</v>
      </c>
      <c r="L942" s="12" t="s">
        <v>137</v>
      </c>
    </row>
    <row r="943" spans="1:12" x14ac:dyDescent="0.35">
      <c r="A943" t="s">
        <v>1108</v>
      </c>
      <c r="B943" s="10">
        <v>7344</v>
      </c>
      <c r="C943" s="10">
        <v>2251</v>
      </c>
      <c r="D943" s="10">
        <v>7</v>
      </c>
      <c r="E943" s="11" t="s">
        <v>13</v>
      </c>
      <c r="F943" s="11" t="s">
        <v>14</v>
      </c>
      <c r="G943" t="s">
        <v>32</v>
      </c>
      <c r="H943" s="13">
        <v>44603</v>
      </c>
      <c r="I943" s="14" t="s">
        <v>1109</v>
      </c>
      <c r="J943" t="s">
        <v>17</v>
      </c>
      <c r="K943" t="s">
        <v>18</v>
      </c>
      <c r="L943" s="12" t="s">
        <v>137</v>
      </c>
    </row>
    <row r="944" spans="1:12" x14ac:dyDescent="0.35">
      <c r="A944" t="s">
        <v>1108</v>
      </c>
      <c r="B944" s="10">
        <v>7306</v>
      </c>
      <c r="C944" s="10">
        <v>1547</v>
      </c>
      <c r="D944" s="10">
        <v>3</v>
      </c>
      <c r="E944" s="11" t="s">
        <v>30</v>
      </c>
      <c r="F944" s="11" t="s">
        <v>64</v>
      </c>
      <c r="G944" t="s">
        <v>65</v>
      </c>
      <c r="H944" s="13">
        <v>44603</v>
      </c>
      <c r="I944" s="14" t="s">
        <v>1109</v>
      </c>
      <c r="J944" t="s">
        <v>17</v>
      </c>
      <c r="K944" t="s">
        <v>18</v>
      </c>
      <c r="L944" s="12" t="s">
        <v>137</v>
      </c>
    </row>
    <row r="945" spans="1:12" x14ac:dyDescent="0.35">
      <c r="A945" t="s">
        <v>1108</v>
      </c>
      <c r="B945" s="10">
        <v>5832</v>
      </c>
      <c r="C945" s="10">
        <v>2588</v>
      </c>
      <c r="D945" s="10">
        <v>10</v>
      </c>
      <c r="E945" s="11" t="s">
        <v>13</v>
      </c>
      <c r="F945" s="11" t="s">
        <v>28</v>
      </c>
      <c r="G945" t="s">
        <v>65</v>
      </c>
      <c r="H945" s="13">
        <v>44603</v>
      </c>
      <c r="I945" s="14" t="s">
        <v>1109</v>
      </c>
      <c r="J945" t="s">
        <v>17</v>
      </c>
      <c r="K945" t="s">
        <v>18</v>
      </c>
      <c r="L945" s="12" t="s">
        <v>137</v>
      </c>
    </row>
    <row r="946" spans="1:12" x14ac:dyDescent="0.35">
      <c r="A946" t="s">
        <v>1110</v>
      </c>
      <c r="B946" s="10">
        <v>8572</v>
      </c>
      <c r="C946" s="10">
        <v>2041</v>
      </c>
      <c r="D946" s="10">
        <v>8</v>
      </c>
      <c r="E946" s="11" t="s">
        <v>45</v>
      </c>
      <c r="F946" s="11" t="s">
        <v>46</v>
      </c>
      <c r="G946" t="s">
        <v>40</v>
      </c>
      <c r="H946" s="13">
        <v>44343</v>
      </c>
      <c r="I946" s="14" t="s">
        <v>1111</v>
      </c>
      <c r="J946" t="s">
        <v>21</v>
      </c>
      <c r="K946" t="s">
        <v>63</v>
      </c>
      <c r="L946" s="12" t="s">
        <v>108</v>
      </c>
    </row>
    <row r="947" spans="1:12" x14ac:dyDescent="0.35">
      <c r="A947" t="s">
        <v>1110</v>
      </c>
      <c r="B947" s="10">
        <v>8572</v>
      </c>
      <c r="C947" s="10">
        <v>2041</v>
      </c>
      <c r="D947" s="10">
        <v>8</v>
      </c>
      <c r="E947" s="11" t="s">
        <v>45</v>
      </c>
      <c r="F947" s="11" t="s">
        <v>46</v>
      </c>
      <c r="G947" t="s">
        <v>40</v>
      </c>
      <c r="H947" s="13">
        <v>45112</v>
      </c>
      <c r="I947" s="14" t="s">
        <v>1112</v>
      </c>
      <c r="J947" t="s">
        <v>21</v>
      </c>
      <c r="K947" t="s">
        <v>63</v>
      </c>
      <c r="L947" s="12" t="s">
        <v>105</v>
      </c>
    </row>
    <row r="948" spans="1:12" x14ac:dyDescent="0.35">
      <c r="A948" t="s">
        <v>1110</v>
      </c>
      <c r="B948" s="10">
        <v>8572</v>
      </c>
      <c r="C948" s="10">
        <v>2041</v>
      </c>
      <c r="D948" s="10">
        <v>8</v>
      </c>
      <c r="E948" s="11" t="s">
        <v>45</v>
      </c>
      <c r="F948" s="11" t="s">
        <v>46</v>
      </c>
      <c r="G948" t="s">
        <v>40</v>
      </c>
      <c r="H948" s="13">
        <v>44131</v>
      </c>
      <c r="I948" s="14" t="s">
        <v>1113</v>
      </c>
      <c r="J948" t="s">
        <v>42</v>
      </c>
      <c r="K948" t="s">
        <v>75</v>
      </c>
      <c r="L948" s="12" t="s">
        <v>119</v>
      </c>
    </row>
    <row r="949" spans="1:12" x14ac:dyDescent="0.35">
      <c r="A949" t="s">
        <v>1110</v>
      </c>
      <c r="B949" s="10">
        <v>8059</v>
      </c>
      <c r="C949" s="10">
        <v>1834</v>
      </c>
      <c r="D949" s="10">
        <v>10</v>
      </c>
      <c r="E949" s="11" t="s">
        <v>13</v>
      </c>
      <c r="F949" s="11" t="s">
        <v>28</v>
      </c>
      <c r="G949" t="s">
        <v>47</v>
      </c>
      <c r="H949" s="13">
        <v>44343</v>
      </c>
      <c r="I949" s="14" t="s">
        <v>1111</v>
      </c>
      <c r="J949" t="s">
        <v>21</v>
      </c>
      <c r="K949" t="s">
        <v>63</v>
      </c>
      <c r="L949" s="12" t="s">
        <v>108</v>
      </c>
    </row>
    <row r="950" spans="1:12" x14ac:dyDescent="0.35">
      <c r="A950" t="s">
        <v>1110</v>
      </c>
      <c r="B950" s="10">
        <v>8059</v>
      </c>
      <c r="C950" s="10">
        <v>1834</v>
      </c>
      <c r="D950" s="10">
        <v>10</v>
      </c>
      <c r="E950" s="11" t="s">
        <v>13</v>
      </c>
      <c r="F950" s="11" t="s">
        <v>28</v>
      </c>
      <c r="G950" t="s">
        <v>47</v>
      </c>
      <c r="H950" s="13">
        <v>45112</v>
      </c>
      <c r="I950" s="14" t="s">
        <v>1112</v>
      </c>
      <c r="J950" t="s">
        <v>21</v>
      </c>
      <c r="K950" t="s">
        <v>63</v>
      </c>
      <c r="L950" s="12" t="s">
        <v>105</v>
      </c>
    </row>
    <row r="951" spans="1:12" x14ac:dyDescent="0.35">
      <c r="A951" t="s">
        <v>1110</v>
      </c>
      <c r="B951" s="10">
        <v>8059</v>
      </c>
      <c r="C951" s="10">
        <v>1834</v>
      </c>
      <c r="D951" s="10">
        <v>10</v>
      </c>
      <c r="E951" s="11" t="s">
        <v>13</v>
      </c>
      <c r="F951" s="11" t="s">
        <v>28</v>
      </c>
      <c r="G951" t="s">
        <v>47</v>
      </c>
      <c r="H951" s="13">
        <v>44131</v>
      </c>
      <c r="I951" s="14" t="s">
        <v>1113</v>
      </c>
      <c r="J951" t="s">
        <v>42</v>
      </c>
      <c r="K951" t="s">
        <v>75</v>
      </c>
      <c r="L951" s="12" t="s">
        <v>119</v>
      </c>
    </row>
    <row r="952" spans="1:12" x14ac:dyDescent="0.35">
      <c r="A952" t="s">
        <v>1114</v>
      </c>
      <c r="B952" s="10">
        <v>3661</v>
      </c>
      <c r="C952" s="10">
        <v>436</v>
      </c>
      <c r="D952" s="10">
        <v>13</v>
      </c>
      <c r="E952" s="11" t="s">
        <v>45</v>
      </c>
      <c r="F952" s="11" t="s">
        <v>60</v>
      </c>
      <c r="G952" t="s">
        <v>40</v>
      </c>
      <c r="H952" s="13">
        <v>44952</v>
      </c>
      <c r="I952" s="14" t="s">
        <v>1115</v>
      </c>
      <c r="J952" t="s">
        <v>71</v>
      </c>
      <c r="K952" t="s">
        <v>86</v>
      </c>
      <c r="L952" s="12" t="s">
        <v>333</v>
      </c>
    </row>
    <row r="953" spans="1:12" x14ac:dyDescent="0.35">
      <c r="A953" t="s">
        <v>1116</v>
      </c>
      <c r="B953" s="10">
        <v>2451</v>
      </c>
      <c r="C953" s="10">
        <v>342</v>
      </c>
      <c r="D953" s="10">
        <v>8</v>
      </c>
      <c r="E953" s="11" t="s">
        <v>30</v>
      </c>
      <c r="F953" s="11" t="s">
        <v>64</v>
      </c>
      <c r="G953" t="s">
        <v>40</v>
      </c>
      <c r="H953" s="13">
        <v>44445</v>
      </c>
      <c r="I953" s="14" t="s">
        <v>1117</v>
      </c>
      <c r="J953" t="s">
        <v>42</v>
      </c>
      <c r="K953" t="s">
        <v>43</v>
      </c>
      <c r="L953" s="12" t="s">
        <v>224</v>
      </c>
    </row>
    <row r="954" spans="1:12" x14ac:dyDescent="0.35">
      <c r="A954" t="s">
        <v>1116</v>
      </c>
      <c r="B954" s="10">
        <v>2451</v>
      </c>
      <c r="C954" s="10">
        <v>342</v>
      </c>
      <c r="D954" s="10">
        <v>8</v>
      </c>
      <c r="E954" s="11" t="s">
        <v>30</v>
      </c>
      <c r="F954" s="11" t="s">
        <v>64</v>
      </c>
      <c r="G954" t="s">
        <v>40</v>
      </c>
      <c r="H954" s="13">
        <v>44512</v>
      </c>
      <c r="I954" s="14" t="s">
        <v>1118</v>
      </c>
      <c r="J954" t="s">
        <v>98</v>
      </c>
      <c r="K954" t="s">
        <v>107</v>
      </c>
      <c r="L954" s="12" t="s">
        <v>175</v>
      </c>
    </row>
    <row r="955" spans="1:12" x14ac:dyDescent="0.35">
      <c r="A955" t="s">
        <v>1116</v>
      </c>
      <c r="B955" s="10">
        <v>2451</v>
      </c>
      <c r="C955" s="10">
        <v>342</v>
      </c>
      <c r="D955" s="10">
        <v>8</v>
      </c>
      <c r="E955" s="11" t="s">
        <v>30</v>
      </c>
      <c r="F955" s="11" t="s">
        <v>64</v>
      </c>
      <c r="G955" t="s">
        <v>40</v>
      </c>
      <c r="H955" s="13">
        <v>45503</v>
      </c>
      <c r="I955" s="14" t="s">
        <v>1119</v>
      </c>
      <c r="J955" t="s">
        <v>71</v>
      </c>
      <c r="K955" t="s">
        <v>138</v>
      </c>
      <c r="L955" s="12" t="s">
        <v>215</v>
      </c>
    </row>
    <row r="956" spans="1:12" x14ac:dyDescent="0.35">
      <c r="A956" t="s">
        <v>1120</v>
      </c>
      <c r="B956" s="10">
        <v>7067</v>
      </c>
      <c r="C956" s="10">
        <v>1943</v>
      </c>
      <c r="D956" s="10">
        <v>16</v>
      </c>
      <c r="E956" s="11" t="s">
        <v>45</v>
      </c>
      <c r="F956" s="11" t="s">
        <v>46</v>
      </c>
      <c r="G956" t="s">
        <v>47</v>
      </c>
      <c r="H956" s="13">
        <v>44635</v>
      </c>
      <c r="I956" s="14" t="s">
        <v>1121</v>
      </c>
      <c r="J956" t="s">
        <v>42</v>
      </c>
      <c r="K956" t="s">
        <v>92</v>
      </c>
      <c r="L956" s="12" t="s">
        <v>134</v>
      </c>
    </row>
    <row r="957" spans="1:12" x14ac:dyDescent="0.35">
      <c r="A957" t="s">
        <v>1122</v>
      </c>
      <c r="B957" s="10">
        <v>4307</v>
      </c>
      <c r="C957" s="10">
        <v>615</v>
      </c>
      <c r="D957" s="10">
        <v>3</v>
      </c>
      <c r="E957" s="11" t="s">
        <v>13</v>
      </c>
      <c r="F957" s="11" t="s">
        <v>14</v>
      </c>
      <c r="G957" t="s">
        <v>15</v>
      </c>
      <c r="H957" s="13">
        <v>45366</v>
      </c>
      <c r="I957" s="14" t="s">
        <v>1123</v>
      </c>
      <c r="J957" t="s">
        <v>25</v>
      </c>
      <c r="K957" t="s">
        <v>51</v>
      </c>
      <c r="L957" s="12" t="s">
        <v>338</v>
      </c>
    </row>
    <row r="958" spans="1:12" x14ac:dyDescent="0.35">
      <c r="A958" t="s">
        <v>1122</v>
      </c>
      <c r="B958" s="10">
        <v>4307</v>
      </c>
      <c r="C958" s="10">
        <v>615</v>
      </c>
      <c r="D958" s="10">
        <v>3</v>
      </c>
      <c r="E958" s="11" t="s">
        <v>13</v>
      </c>
      <c r="F958" s="11" t="s">
        <v>14</v>
      </c>
      <c r="G958" t="s">
        <v>15</v>
      </c>
      <c r="H958" s="13">
        <v>44145</v>
      </c>
      <c r="I958" s="14" t="s">
        <v>1124</v>
      </c>
      <c r="J958" t="s">
        <v>21</v>
      </c>
      <c r="K958" t="s">
        <v>63</v>
      </c>
      <c r="L958" s="12" t="s">
        <v>80</v>
      </c>
    </row>
    <row r="959" spans="1:12" x14ac:dyDescent="0.35">
      <c r="A959" t="s">
        <v>1122</v>
      </c>
      <c r="B959" s="10">
        <v>5694</v>
      </c>
      <c r="C959" s="10">
        <v>1134</v>
      </c>
      <c r="D959" s="10">
        <v>5</v>
      </c>
      <c r="E959" s="11" t="s">
        <v>45</v>
      </c>
      <c r="F959" s="11" t="s">
        <v>49</v>
      </c>
      <c r="G959" t="s">
        <v>40</v>
      </c>
      <c r="H959" s="13">
        <v>45366</v>
      </c>
      <c r="I959" s="14" t="s">
        <v>1123</v>
      </c>
      <c r="J959" t="s">
        <v>25</v>
      </c>
      <c r="K959" t="s">
        <v>51</v>
      </c>
      <c r="L959" s="12" t="s">
        <v>338</v>
      </c>
    </row>
    <row r="960" spans="1:12" x14ac:dyDescent="0.35">
      <c r="A960" t="s">
        <v>1122</v>
      </c>
      <c r="B960" s="10">
        <v>5694</v>
      </c>
      <c r="C960" s="10">
        <v>1134</v>
      </c>
      <c r="D960" s="10">
        <v>5</v>
      </c>
      <c r="E960" s="11" t="s">
        <v>45</v>
      </c>
      <c r="F960" s="11" t="s">
        <v>49</v>
      </c>
      <c r="G960" t="s">
        <v>40</v>
      </c>
      <c r="H960" s="13">
        <v>44145</v>
      </c>
      <c r="I960" s="14" t="s">
        <v>1124</v>
      </c>
      <c r="J960" t="s">
        <v>21</v>
      </c>
      <c r="K960" t="s">
        <v>63</v>
      </c>
      <c r="L960" s="12" t="s">
        <v>80</v>
      </c>
    </row>
    <row r="961" spans="1:12" x14ac:dyDescent="0.35">
      <c r="A961" t="s">
        <v>1125</v>
      </c>
      <c r="B961" s="10">
        <v>962</v>
      </c>
      <c r="C961" s="10">
        <v>298</v>
      </c>
      <c r="D961" s="10">
        <v>18</v>
      </c>
      <c r="E961" s="11" t="s">
        <v>30</v>
      </c>
      <c r="F961" s="11" t="s">
        <v>78</v>
      </c>
      <c r="G961" t="s">
        <v>47</v>
      </c>
      <c r="H961" s="13">
        <v>44765</v>
      </c>
      <c r="I961" s="14" t="s">
        <v>1126</v>
      </c>
      <c r="J961" t="s">
        <v>21</v>
      </c>
      <c r="K961" t="s">
        <v>63</v>
      </c>
      <c r="L961" s="12" t="s">
        <v>418</v>
      </c>
    </row>
    <row r="962" spans="1:12" x14ac:dyDescent="0.35">
      <c r="A962" t="s">
        <v>1127</v>
      </c>
      <c r="B962" s="10">
        <v>2995</v>
      </c>
      <c r="C962" s="10">
        <v>220</v>
      </c>
      <c r="D962" s="10">
        <v>14</v>
      </c>
      <c r="E962" s="11" t="s">
        <v>45</v>
      </c>
      <c r="F962" s="11" t="s">
        <v>109</v>
      </c>
      <c r="G962" t="s">
        <v>47</v>
      </c>
      <c r="H962" s="13">
        <v>45548</v>
      </c>
      <c r="I962" s="14" t="s">
        <v>1128</v>
      </c>
      <c r="J962" t="s">
        <v>25</v>
      </c>
      <c r="K962" t="s">
        <v>26</v>
      </c>
      <c r="L962" s="12" t="s">
        <v>159</v>
      </c>
    </row>
    <row r="963" spans="1:12" x14ac:dyDescent="0.35">
      <c r="A963" t="s">
        <v>1127</v>
      </c>
      <c r="B963" s="10">
        <v>2047</v>
      </c>
      <c r="C963" s="10">
        <v>914</v>
      </c>
      <c r="D963" s="10">
        <v>5</v>
      </c>
      <c r="E963" s="11" t="s">
        <v>30</v>
      </c>
      <c r="F963" s="11" t="s">
        <v>57</v>
      </c>
      <c r="G963" t="s">
        <v>32</v>
      </c>
      <c r="H963" s="13">
        <v>45548</v>
      </c>
      <c r="I963" s="14" t="s">
        <v>1128</v>
      </c>
      <c r="J963" t="s">
        <v>25</v>
      </c>
      <c r="K963" t="s">
        <v>26</v>
      </c>
      <c r="L963" s="12" t="s">
        <v>159</v>
      </c>
    </row>
    <row r="964" spans="1:12" x14ac:dyDescent="0.35">
      <c r="A964" t="s">
        <v>1129</v>
      </c>
      <c r="B964" s="10">
        <v>2078</v>
      </c>
      <c r="C964" s="10">
        <v>612</v>
      </c>
      <c r="D964" s="10">
        <v>6</v>
      </c>
      <c r="E964" s="11" t="s">
        <v>13</v>
      </c>
      <c r="F964" s="11" t="s">
        <v>39</v>
      </c>
      <c r="G964" t="s">
        <v>65</v>
      </c>
      <c r="H964" s="13">
        <v>44586</v>
      </c>
      <c r="I964" s="14" t="s">
        <v>1130</v>
      </c>
      <c r="J964" t="s">
        <v>71</v>
      </c>
      <c r="K964" t="s">
        <v>86</v>
      </c>
      <c r="L964" s="12" t="s">
        <v>87</v>
      </c>
    </row>
    <row r="965" spans="1:12" x14ac:dyDescent="0.35">
      <c r="A965" t="s">
        <v>1131</v>
      </c>
      <c r="B965" s="10">
        <v>2737</v>
      </c>
      <c r="C965" s="10">
        <v>1253</v>
      </c>
      <c r="D965" s="10">
        <v>3</v>
      </c>
      <c r="E965" s="11" t="s">
        <v>13</v>
      </c>
      <c r="F965" s="11" t="s">
        <v>28</v>
      </c>
      <c r="G965" t="s">
        <v>40</v>
      </c>
      <c r="H965" s="13">
        <v>44305</v>
      </c>
      <c r="I965" s="14" t="s">
        <v>1132</v>
      </c>
      <c r="J965" t="s">
        <v>25</v>
      </c>
      <c r="K965" t="s">
        <v>51</v>
      </c>
      <c r="L965" s="12" t="s">
        <v>139</v>
      </c>
    </row>
    <row r="966" spans="1:12" x14ac:dyDescent="0.35">
      <c r="A966" t="s">
        <v>1133</v>
      </c>
      <c r="B966" s="10">
        <v>8194</v>
      </c>
      <c r="C966" s="10">
        <v>2881</v>
      </c>
      <c r="D966" s="10">
        <v>6</v>
      </c>
      <c r="E966" s="11" t="s">
        <v>30</v>
      </c>
      <c r="F966" s="11" t="s">
        <v>64</v>
      </c>
      <c r="G966" t="s">
        <v>32</v>
      </c>
      <c r="H966" s="13">
        <v>44395</v>
      </c>
      <c r="I966" s="14" t="s">
        <v>1134</v>
      </c>
      <c r="J966" t="s">
        <v>71</v>
      </c>
      <c r="K966" t="s">
        <v>138</v>
      </c>
      <c r="L966" s="12" t="s">
        <v>27</v>
      </c>
    </row>
    <row r="967" spans="1:12" x14ac:dyDescent="0.35">
      <c r="A967" t="s">
        <v>1135</v>
      </c>
      <c r="B967" s="10">
        <v>9914</v>
      </c>
      <c r="C967" s="10">
        <v>3858</v>
      </c>
      <c r="D967" s="10">
        <v>16</v>
      </c>
      <c r="E967" s="11" t="s">
        <v>45</v>
      </c>
      <c r="F967" s="11" t="s">
        <v>60</v>
      </c>
      <c r="G967" t="s">
        <v>47</v>
      </c>
      <c r="H967" s="13">
        <v>44736</v>
      </c>
      <c r="I967" s="14" t="s">
        <v>1136</v>
      </c>
      <c r="J967" t="s">
        <v>25</v>
      </c>
      <c r="K967" t="s">
        <v>26</v>
      </c>
      <c r="L967" s="12" t="s">
        <v>165</v>
      </c>
    </row>
    <row r="968" spans="1:12" x14ac:dyDescent="0.35">
      <c r="A968" t="s">
        <v>1135</v>
      </c>
      <c r="B968" s="10">
        <v>9914</v>
      </c>
      <c r="C968" s="10">
        <v>3858</v>
      </c>
      <c r="D968" s="10">
        <v>16</v>
      </c>
      <c r="E968" s="11" t="s">
        <v>45</v>
      </c>
      <c r="F968" s="11" t="s">
        <v>60</v>
      </c>
      <c r="G968" t="s">
        <v>47</v>
      </c>
      <c r="H968" s="13">
        <v>45451</v>
      </c>
      <c r="I968" s="14" t="s">
        <v>1137</v>
      </c>
      <c r="J968" t="s">
        <v>25</v>
      </c>
      <c r="K968" t="s">
        <v>68</v>
      </c>
      <c r="L968" s="12" t="s">
        <v>262</v>
      </c>
    </row>
    <row r="969" spans="1:12" x14ac:dyDescent="0.35">
      <c r="A969" t="s">
        <v>1135</v>
      </c>
      <c r="B969" s="10">
        <v>5470</v>
      </c>
      <c r="C969" s="10">
        <v>292</v>
      </c>
      <c r="D969" s="10">
        <v>7</v>
      </c>
      <c r="E969" s="11" t="s">
        <v>30</v>
      </c>
      <c r="F969" s="11" t="s">
        <v>31</v>
      </c>
      <c r="G969" t="s">
        <v>32</v>
      </c>
      <c r="H969" s="13">
        <v>44736</v>
      </c>
      <c r="I969" s="14" t="s">
        <v>1136</v>
      </c>
      <c r="J969" t="s">
        <v>25</v>
      </c>
      <c r="K969" t="s">
        <v>26</v>
      </c>
      <c r="L969" s="12" t="s">
        <v>165</v>
      </c>
    </row>
    <row r="970" spans="1:12" x14ac:dyDescent="0.35">
      <c r="A970" t="s">
        <v>1135</v>
      </c>
      <c r="B970" s="10">
        <v>5470</v>
      </c>
      <c r="C970" s="10">
        <v>292</v>
      </c>
      <c r="D970" s="10">
        <v>7</v>
      </c>
      <c r="E970" s="11" t="s">
        <v>30</v>
      </c>
      <c r="F970" s="11" t="s">
        <v>31</v>
      </c>
      <c r="G970" t="s">
        <v>32</v>
      </c>
      <c r="H970" s="13">
        <v>45451</v>
      </c>
      <c r="I970" s="14" t="s">
        <v>1137</v>
      </c>
      <c r="J970" t="s">
        <v>25</v>
      </c>
      <c r="K970" t="s">
        <v>68</v>
      </c>
      <c r="L970" s="12" t="s">
        <v>262</v>
      </c>
    </row>
    <row r="971" spans="1:12" x14ac:dyDescent="0.35">
      <c r="A971" t="s">
        <v>1135</v>
      </c>
      <c r="B971" s="10">
        <v>1496</v>
      </c>
      <c r="C971" s="10">
        <v>662</v>
      </c>
      <c r="D971" s="10">
        <v>17</v>
      </c>
      <c r="E971" s="11" t="s">
        <v>45</v>
      </c>
      <c r="F971" s="11" t="s">
        <v>109</v>
      </c>
      <c r="G971" t="s">
        <v>15</v>
      </c>
      <c r="H971" s="13">
        <v>44736</v>
      </c>
      <c r="I971" s="14" t="s">
        <v>1136</v>
      </c>
      <c r="J971" t="s">
        <v>25</v>
      </c>
      <c r="K971" t="s">
        <v>26</v>
      </c>
      <c r="L971" s="12" t="s">
        <v>165</v>
      </c>
    </row>
    <row r="972" spans="1:12" x14ac:dyDescent="0.35">
      <c r="A972" t="s">
        <v>1135</v>
      </c>
      <c r="B972" s="10">
        <v>1496</v>
      </c>
      <c r="C972" s="10">
        <v>662</v>
      </c>
      <c r="D972" s="10">
        <v>17</v>
      </c>
      <c r="E972" s="11" t="s">
        <v>45</v>
      </c>
      <c r="F972" s="11" t="s">
        <v>109</v>
      </c>
      <c r="G972" t="s">
        <v>15</v>
      </c>
      <c r="H972" s="13">
        <v>45451</v>
      </c>
      <c r="I972" s="14" t="s">
        <v>1137</v>
      </c>
      <c r="J972" t="s">
        <v>25</v>
      </c>
      <c r="K972" t="s">
        <v>68</v>
      </c>
      <c r="L972" s="12" t="s">
        <v>262</v>
      </c>
    </row>
    <row r="973" spans="1:12" x14ac:dyDescent="0.35">
      <c r="A973" t="s">
        <v>1138</v>
      </c>
      <c r="B973" s="10">
        <v>3228</v>
      </c>
      <c r="C973" s="10">
        <v>476</v>
      </c>
      <c r="D973" s="10">
        <v>9</v>
      </c>
      <c r="E973" s="11" t="s">
        <v>30</v>
      </c>
      <c r="F973" s="11" t="s">
        <v>64</v>
      </c>
      <c r="G973" t="s">
        <v>65</v>
      </c>
      <c r="H973" s="13">
        <v>44833</v>
      </c>
      <c r="I973" s="14" t="s">
        <v>1139</v>
      </c>
      <c r="J973" t="s">
        <v>25</v>
      </c>
      <c r="K973" t="s">
        <v>51</v>
      </c>
      <c r="L973" s="12" t="s">
        <v>131</v>
      </c>
    </row>
    <row r="974" spans="1:12" x14ac:dyDescent="0.35">
      <c r="A974" t="s">
        <v>1140</v>
      </c>
      <c r="B974" s="10">
        <v>3918</v>
      </c>
      <c r="C974" s="10">
        <v>749</v>
      </c>
      <c r="D974" s="10">
        <v>8</v>
      </c>
      <c r="E974" s="11" t="s">
        <v>13</v>
      </c>
      <c r="F974" s="11" t="s">
        <v>39</v>
      </c>
      <c r="G974" t="s">
        <v>47</v>
      </c>
      <c r="H974" s="13">
        <v>45056</v>
      </c>
      <c r="I974" s="14" t="s">
        <v>1141</v>
      </c>
      <c r="J974" t="s">
        <v>42</v>
      </c>
      <c r="K974" t="s">
        <v>75</v>
      </c>
      <c r="L974" s="12" t="s">
        <v>127</v>
      </c>
    </row>
    <row r="975" spans="1:12" x14ac:dyDescent="0.35">
      <c r="A975" t="s">
        <v>1140</v>
      </c>
      <c r="B975" s="10">
        <v>3918</v>
      </c>
      <c r="C975" s="10">
        <v>749</v>
      </c>
      <c r="D975" s="10">
        <v>8</v>
      </c>
      <c r="E975" s="11" t="s">
        <v>13</v>
      </c>
      <c r="F975" s="11" t="s">
        <v>39</v>
      </c>
      <c r="G975" t="s">
        <v>47</v>
      </c>
      <c r="H975" s="13">
        <v>43953</v>
      </c>
      <c r="I975" s="14" t="s">
        <v>1142</v>
      </c>
      <c r="J975" t="s">
        <v>71</v>
      </c>
      <c r="K975" t="s">
        <v>138</v>
      </c>
      <c r="L975" s="12" t="s">
        <v>59</v>
      </c>
    </row>
    <row r="976" spans="1:12" x14ac:dyDescent="0.35">
      <c r="A976" t="s">
        <v>1143</v>
      </c>
      <c r="B976" s="10">
        <v>9921</v>
      </c>
      <c r="C976" s="10">
        <v>1451</v>
      </c>
      <c r="D976" s="10">
        <v>15</v>
      </c>
      <c r="E976" s="11" t="s">
        <v>45</v>
      </c>
      <c r="F976" s="11" t="s">
        <v>60</v>
      </c>
      <c r="G976" t="s">
        <v>40</v>
      </c>
      <c r="H976" s="13">
        <v>44298</v>
      </c>
      <c r="I976" s="14" t="s">
        <v>1144</v>
      </c>
      <c r="J976" t="s">
        <v>21</v>
      </c>
      <c r="K976" t="s">
        <v>22</v>
      </c>
      <c r="L976" s="12" t="s">
        <v>139</v>
      </c>
    </row>
    <row r="977" spans="1:12" x14ac:dyDescent="0.35">
      <c r="A977" t="s">
        <v>1145</v>
      </c>
      <c r="B977" s="10">
        <v>9694</v>
      </c>
      <c r="C977" s="10">
        <v>4361</v>
      </c>
      <c r="D977" s="10">
        <v>1</v>
      </c>
      <c r="E977" s="11" t="s">
        <v>45</v>
      </c>
      <c r="F977" s="11" t="s">
        <v>49</v>
      </c>
      <c r="G977" t="s">
        <v>40</v>
      </c>
      <c r="H977" s="13">
        <v>45234</v>
      </c>
      <c r="I977" s="14" t="s">
        <v>1146</v>
      </c>
      <c r="J977" t="s">
        <v>21</v>
      </c>
      <c r="K977" t="s">
        <v>63</v>
      </c>
      <c r="L977" s="12" t="s">
        <v>52</v>
      </c>
    </row>
    <row r="978" spans="1:12" x14ac:dyDescent="0.35">
      <c r="A978" t="s">
        <v>1147</v>
      </c>
      <c r="B978" s="10">
        <v>5028</v>
      </c>
      <c r="C978" s="10">
        <v>1553</v>
      </c>
      <c r="D978" s="10">
        <v>13</v>
      </c>
      <c r="E978" s="11" t="s">
        <v>30</v>
      </c>
      <c r="F978" s="11" t="s">
        <v>64</v>
      </c>
      <c r="G978" t="s">
        <v>40</v>
      </c>
      <c r="H978" s="13">
        <v>43955</v>
      </c>
      <c r="I978" s="14" t="s">
        <v>1148</v>
      </c>
      <c r="J978" t="s">
        <v>17</v>
      </c>
      <c r="K978" t="s">
        <v>150</v>
      </c>
      <c r="L978" s="12" t="s">
        <v>59</v>
      </c>
    </row>
    <row r="979" spans="1:12" x14ac:dyDescent="0.35">
      <c r="A979" t="s">
        <v>1149</v>
      </c>
      <c r="B979" s="10">
        <v>594</v>
      </c>
      <c r="C979" s="10">
        <v>67</v>
      </c>
      <c r="D979" s="10">
        <v>19</v>
      </c>
      <c r="E979" s="11" t="s">
        <v>30</v>
      </c>
      <c r="F979" s="11" t="s">
        <v>64</v>
      </c>
      <c r="G979" t="s">
        <v>32</v>
      </c>
      <c r="H979" s="13">
        <v>45179</v>
      </c>
      <c r="I979" s="14" t="s">
        <v>1150</v>
      </c>
      <c r="J979" t="s">
        <v>25</v>
      </c>
      <c r="K979" t="s">
        <v>26</v>
      </c>
      <c r="L979" s="12" t="s">
        <v>273</v>
      </c>
    </row>
    <row r="980" spans="1:12" x14ac:dyDescent="0.35">
      <c r="A980" t="s">
        <v>1149</v>
      </c>
      <c r="B980" s="10">
        <v>594</v>
      </c>
      <c r="C980" s="10">
        <v>67</v>
      </c>
      <c r="D980" s="10">
        <v>19</v>
      </c>
      <c r="E980" s="11" t="s">
        <v>30</v>
      </c>
      <c r="F980" s="11" t="s">
        <v>64</v>
      </c>
      <c r="G980" t="s">
        <v>32</v>
      </c>
      <c r="H980" s="13">
        <v>45296</v>
      </c>
      <c r="I980" s="14" t="s">
        <v>1151</v>
      </c>
      <c r="J980" t="s">
        <v>17</v>
      </c>
      <c r="K980" t="s">
        <v>18</v>
      </c>
      <c r="L980" s="12" t="s">
        <v>76</v>
      </c>
    </row>
    <row r="981" spans="1:12" x14ac:dyDescent="0.35">
      <c r="A981" t="s">
        <v>1149</v>
      </c>
      <c r="B981" s="10">
        <v>594</v>
      </c>
      <c r="C981" s="10">
        <v>67</v>
      </c>
      <c r="D981" s="10">
        <v>19</v>
      </c>
      <c r="E981" s="11" t="s">
        <v>30</v>
      </c>
      <c r="F981" s="11" t="s">
        <v>64</v>
      </c>
      <c r="G981" t="s">
        <v>32</v>
      </c>
      <c r="H981" s="13">
        <v>45420</v>
      </c>
      <c r="I981" s="14" t="s">
        <v>1152</v>
      </c>
      <c r="J981" t="s">
        <v>71</v>
      </c>
      <c r="K981" t="s">
        <v>86</v>
      </c>
      <c r="L981" s="12" t="s">
        <v>35</v>
      </c>
    </row>
    <row r="982" spans="1:12" x14ac:dyDescent="0.35">
      <c r="A982" t="s">
        <v>1153</v>
      </c>
      <c r="B982" s="10">
        <v>5954</v>
      </c>
      <c r="C982" s="10">
        <v>2618</v>
      </c>
      <c r="D982" s="10">
        <v>11</v>
      </c>
      <c r="E982" s="11" t="s">
        <v>45</v>
      </c>
      <c r="F982" s="11" t="s">
        <v>46</v>
      </c>
      <c r="G982" t="s">
        <v>65</v>
      </c>
      <c r="H982" s="13">
        <v>45381</v>
      </c>
      <c r="I982" s="14" t="s">
        <v>1154</v>
      </c>
      <c r="J982" t="s">
        <v>98</v>
      </c>
      <c r="K982" t="s">
        <v>107</v>
      </c>
      <c r="L982" s="12" t="s">
        <v>338</v>
      </c>
    </row>
    <row r="983" spans="1:12" x14ac:dyDescent="0.35">
      <c r="A983" t="s">
        <v>1155</v>
      </c>
      <c r="B983" s="10">
        <v>3518</v>
      </c>
      <c r="C983" s="10">
        <v>1051</v>
      </c>
      <c r="D983" s="10">
        <v>3</v>
      </c>
      <c r="E983" s="11" t="s">
        <v>45</v>
      </c>
      <c r="F983" s="11" t="s">
        <v>109</v>
      </c>
      <c r="G983" t="s">
        <v>15</v>
      </c>
      <c r="H983" s="13">
        <v>44084</v>
      </c>
      <c r="I983" s="14" t="s">
        <v>1156</v>
      </c>
      <c r="J983" t="s">
        <v>42</v>
      </c>
      <c r="K983" t="s">
        <v>92</v>
      </c>
      <c r="L983" s="12" t="s">
        <v>389</v>
      </c>
    </row>
    <row r="984" spans="1:12" x14ac:dyDescent="0.35">
      <c r="A984" t="s">
        <v>1155</v>
      </c>
      <c r="B984" s="10">
        <v>4157</v>
      </c>
      <c r="C984" s="10">
        <v>1874</v>
      </c>
      <c r="D984" s="10">
        <v>8</v>
      </c>
      <c r="E984" s="11" t="s">
        <v>13</v>
      </c>
      <c r="F984" s="11" t="s">
        <v>39</v>
      </c>
      <c r="G984" t="s">
        <v>40</v>
      </c>
      <c r="H984" s="13">
        <v>44084</v>
      </c>
      <c r="I984" s="14" t="s">
        <v>1156</v>
      </c>
      <c r="J984" t="s">
        <v>42</v>
      </c>
      <c r="K984" t="s">
        <v>92</v>
      </c>
      <c r="L984" s="12" t="s">
        <v>389</v>
      </c>
    </row>
    <row r="985" spans="1:12" x14ac:dyDescent="0.35">
      <c r="A985" t="s">
        <v>1157</v>
      </c>
      <c r="B985" s="10">
        <v>3747</v>
      </c>
      <c r="C985" s="10">
        <v>410</v>
      </c>
      <c r="D985" s="10">
        <v>5</v>
      </c>
      <c r="E985" s="11" t="s">
        <v>30</v>
      </c>
      <c r="F985" s="11" t="s">
        <v>57</v>
      </c>
      <c r="G985" t="s">
        <v>47</v>
      </c>
      <c r="H985" s="13">
        <v>44024</v>
      </c>
      <c r="I985" s="14" t="s">
        <v>1158</v>
      </c>
      <c r="J985" t="s">
        <v>21</v>
      </c>
      <c r="K985" t="s">
        <v>63</v>
      </c>
      <c r="L985" s="12" t="s">
        <v>462</v>
      </c>
    </row>
    <row r="986" spans="1:12" x14ac:dyDescent="0.35">
      <c r="A986" t="s">
        <v>1157</v>
      </c>
      <c r="B986" s="10">
        <v>3747</v>
      </c>
      <c r="C986" s="10">
        <v>410</v>
      </c>
      <c r="D986" s="10">
        <v>5</v>
      </c>
      <c r="E986" s="11" t="s">
        <v>30</v>
      </c>
      <c r="F986" s="11" t="s">
        <v>57</v>
      </c>
      <c r="G986" t="s">
        <v>47</v>
      </c>
      <c r="H986" s="13">
        <v>44903</v>
      </c>
      <c r="I986" s="14" t="s">
        <v>1159</v>
      </c>
      <c r="J986" t="s">
        <v>25</v>
      </c>
      <c r="K986" t="s">
        <v>26</v>
      </c>
      <c r="L986" s="12" t="s">
        <v>152</v>
      </c>
    </row>
    <row r="987" spans="1:12" x14ac:dyDescent="0.35">
      <c r="A987" t="s">
        <v>1157</v>
      </c>
      <c r="B987" s="10">
        <v>3747</v>
      </c>
      <c r="C987" s="10">
        <v>410</v>
      </c>
      <c r="D987" s="10">
        <v>5</v>
      </c>
      <c r="E987" s="11" t="s">
        <v>30</v>
      </c>
      <c r="F987" s="11" t="s">
        <v>57</v>
      </c>
      <c r="G987" t="s">
        <v>47</v>
      </c>
      <c r="H987" s="13">
        <v>45378</v>
      </c>
      <c r="I987" s="14" t="s">
        <v>1160</v>
      </c>
      <c r="J987" t="s">
        <v>98</v>
      </c>
      <c r="K987" t="s">
        <v>99</v>
      </c>
      <c r="L987" s="12" t="s">
        <v>338</v>
      </c>
    </row>
    <row r="988" spans="1:12" x14ac:dyDescent="0.35">
      <c r="A988" t="s">
        <v>1157</v>
      </c>
      <c r="B988" s="10">
        <v>3747</v>
      </c>
      <c r="C988" s="10">
        <v>410</v>
      </c>
      <c r="D988" s="10">
        <v>5</v>
      </c>
      <c r="E988" s="11" t="s">
        <v>30</v>
      </c>
      <c r="F988" s="11" t="s">
        <v>57</v>
      </c>
      <c r="G988" t="s">
        <v>47</v>
      </c>
      <c r="H988" s="13">
        <v>44974</v>
      </c>
      <c r="I988" s="14" t="s">
        <v>1161</v>
      </c>
      <c r="J988" t="s">
        <v>21</v>
      </c>
      <c r="K988" t="s">
        <v>22</v>
      </c>
      <c r="L988" s="12" t="s">
        <v>93</v>
      </c>
    </row>
    <row r="989" spans="1:12" x14ac:dyDescent="0.35">
      <c r="A989" t="s">
        <v>1157</v>
      </c>
      <c r="B989" s="10">
        <v>3747</v>
      </c>
      <c r="C989" s="10">
        <v>410</v>
      </c>
      <c r="D989" s="10">
        <v>5</v>
      </c>
      <c r="E989" s="11" t="s">
        <v>30</v>
      </c>
      <c r="F989" s="11" t="s">
        <v>57</v>
      </c>
      <c r="G989" t="s">
        <v>47</v>
      </c>
      <c r="H989" s="13">
        <v>44398</v>
      </c>
      <c r="I989" s="14" t="s">
        <v>1162</v>
      </c>
      <c r="J989" t="s">
        <v>42</v>
      </c>
      <c r="K989" t="s">
        <v>43</v>
      </c>
      <c r="L989" s="12" t="s">
        <v>27</v>
      </c>
    </row>
    <row r="990" spans="1:12" x14ac:dyDescent="0.35">
      <c r="A990" t="s">
        <v>1157</v>
      </c>
      <c r="B990" s="10">
        <v>3194</v>
      </c>
      <c r="C990" s="10">
        <v>534</v>
      </c>
      <c r="D990" s="10">
        <v>4</v>
      </c>
      <c r="E990" s="11" t="s">
        <v>30</v>
      </c>
      <c r="F990" s="11" t="s">
        <v>78</v>
      </c>
      <c r="G990" t="s">
        <v>15</v>
      </c>
      <c r="H990" s="13">
        <v>44024</v>
      </c>
      <c r="I990" s="14" t="s">
        <v>1158</v>
      </c>
      <c r="J990" t="s">
        <v>21</v>
      </c>
      <c r="K990" t="s">
        <v>63</v>
      </c>
      <c r="L990" s="12" t="s">
        <v>462</v>
      </c>
    </row>
    <row r="991" spans="1:12" x14ac:dyDescent="0.35">
      <c r="A991" t="s">
        <v>1157</v>
      </c>
      <c r="B991" s="10">
        <v>3194</v>
      </c>
      <c r="C991" s="10">
        <v>534</v>
      </c>
      <c r="D991" s="10">
        <v>4</v>
      </c>
      <c r="E991" s="11" t="s">
        <v>30</v>
      </c>
      <c r="F991" s="11" t="s">
        <v>78</v>
      </c>
      <c r="G991" t="s">
        <v>15</v>
      </c>
      <c r="H991" s="13">
        <v>44903</v>
      </c>
      <c r="I991" s="14" t="s">
        <v>1159</v>
      </c>
      <c r="J991" t="s">
        <v>25</v>
      </c>
      <c r="K991" t="s">
        <v>26</v>
      </c>
      <c r="L991" s="12" t="s">
        <v>152</v>
      </c>
    </row>
    <row r="992" spans="1:12" x14ac:dyDescent="0.35">
      <c r="A992" t="s">
        <v>1157</v>
      </c>
      <c r="B992" s="10">
        <v>3194</v>
      </c>
      <c r="C992" s="10">
        <v>534</v>
      </c>
      <c r="D992" s="10">
        <v>4</v>
      </c>
      <c r="E992" s="11" t="s">
        <v>30</v>
      </c>
      <c r="F992" s="11" t="s">
        <v>78</v>
      </c>
      <c r="G992" t="s">
        <v>15</v>
      </c>
      <c r="H992" s="13">
        <v>45378</v>
      </c>
      <c r="I992" s="14" t="s">
        <v>1160</v>
      </c>
      <c r="J992" t="s">
        <v>98</v>
      </c>
      <c r="K992" t="s">
        <v>99</v>
      </c>
      <c r="L992" s="12" t="s">
        <v>338</v>
      </c>
    </row>
    <row r="993" spans="1:12" x14ac:dyDescent="0.35">
      <c r="A993" t="s">
        <v>1157</v>
      </c>
      <c r="B993" s="10">
        <v>3194</v>
      </c>
      <c r="C993" s="10">
        <v>534</v>
      </c>
      <c r="D993" s="10">
        <v>4</v>
      </c>
      <c r="E993" s="11" t="s">
        <v>30</v>
      </c>
      <c r="F993" s="11" t="s">
        <v>78</v>
      </c>
      <c r="G993" t="s">
        <v>15</v>
      </c>
      <c r="H993" s="13">
        <v>44974</v>
      </c>
      <c r="I993" s="14" t="s">
        <v>1161</v>
      </c>
      <c r="J993" t="s">
        <v>21</v>
      </c>
      <c r="K993" t="s">
        <v>22</v>
      </c>
      <c r="L993" s="12" t="s">
        <v>93</v>
      </c>
    </row>
    <row r="994" spans="1:12" x14ac:dyDescent="0.35">
      <c r="A994" t="s">
        <v>1157</v>
      </c>
      <c r="B994" s="10">
        <v>3194</v>
      </c>
      <c r="C994" s="10">
        <v>534</v>
      </c>
      <c r="D994" s="10">
        <v>4</v>
      </c>
      <c r="E994" s="11" t="s">
        <v>30</v>
      </c>
      <c r="F994" s="11" t="s">
        <v>78</v>
      </c>
      <c r="G994" t="s">
        <v>15</v>
      </c>
      <c r="H994" s="13">
        <v>44398</v>
      </c>
      <c r="I994" s="14" t="s">
        <v>1162</v>
      </c>
      <c r="J994" t="s">
        <v>42</v>
      </c>
      <c r="K994" t="s">
        <v>43</v>
      </c>
      <c r="L994" s="12" t="s">
        <v>27</v>
      </c>
    </row>
    <row r="995" spans="1:12" x14ac:dyDescent="0.35">
      <c r="A995" t="s">
        <v>1163</v>
      </c>
      <c r="B995" s="10">
        <v>8548</v>
      </c>
      <c r="C995" s="10">
        <v>2305</v>
      </c>
      <c r="D995" s="10">
        <v>1</v>
      </c>
      <c r="E995" s="11" t="s">
        <v>30</v>
      </c>
      <c r="F995" s="11" t="s">
        <v>78</v>
      </c>
      <c r="G995" t="s">
        <v>65</v>
      </c>
      <c r="H995" s="13">
        <v>44864</v>
      </c>
      <c r="I995" s="14" t="s">
        <v>1164</v>
      </c>
      <c r="J995" t="s">
        <v>17</v>
      </c>
      <c r="K995" t="s">
        <v>150</v>
      </c>
      <c r="L995" s="12" t="s">
        <v>96</v>
      </c>
    </row>
    <row r="996" spans="1:12" x14ac:dyDescent="0.35">
      <c r="A996" t="s">
        <v>1165</v>
      </c>
      <c r="B996" s="10">
        <v>6089</v>
      </c>
      <c r="C996" s="10">
        <v>139</v>
      </c>
      <c r="D996" s="10">
        <v>19</v>
      </c>
      <c r="E996" s="11" t="s">
        <v>45</v>
      </c>
      <c r="F996" s="11" t="s">
        <v>46</v>
      </c>
      <c r="G996" t="s">
        <v>32</v>
      </c>
      <c r="H996" s="13">
        <v>44196</v>
      </c>
      <c r="I996" s="14" t="s">
        <v>1166</v>
      </c>
      <c r="J996" t="s">
        <v>98</v>
      </c>
      <c r="K996" t="s">
        <v>107</v>
      </c>
      <c r="L996" s="12" t="s">
        <v>287</v>
      </c>
    </row>
    <row r="997" spans="1:12" x14ac:dyDescent="0.35">
      <c r="A997" t="s">
        <v>1165</v>
      </c>
      <c r="B997" s="10">
        <v>6089</v>
      </c>
      <c r="C997" s="10">
        <v>139</v>
      </c>
      <c r="D997" s="10">
        <v>19</v>
      </c>
      <c r="E997" s="11" t="s">
        <v>45</v>
      </c>
      <c r="F997" s="11" t="s">
        <v>46</v>
      </c>
      <c r="G997" t="s">
        <v>32</v>
      </c>
      <c r="H997" s="13">
        <v>44666</v>
      </c>
      <c r="I997" s="14" t="s">
        <v>1167</v>
      </c>
      <c r="J997" t="s">
        <v>98</v>
      </c>
      <c r="K997" t="s">
        <v>117</v>
      </c>
      <c r="L997" s="12" t="s">
        <v>187</v>
      </c>
    </row>
    <row r="998" spans="1:12" x14ac:dyDescent="0.35">
      <c r="A998" t="s">
        <v>1165</v>
      </c>
      <c r="B998" s="10">
        <v>6089</v>
      </c>
      <c r="C998" s="10">
        <v>139</v>
      </c>
      <c r="D998" s="10">
        <v>19</v>
      </c>
      <c r="E998" s="11" t="s">
        <v>45</v>
      </c>
      <c r="F998" s="11" t="s">
        <v>46</v>
      </c>
      <c r="G998" t="s">
        <v>32</v>
      </c>
      <c r="H998" s="13">
        <v>45021</v>
      </c>
      <c r="I998" s="14" t="s">
        <v>1168</v>
      </c>
      <c r="J998" t="s">
        <v>21</v>
      </c>
      <c r="K998" t="s">
        <v>22</v>
      </c>
      <c r="L998" s="12" t="s">
        <v>145</v>
      </c>
    </row>
    <row r="999" spans="1:12" x14ac:dyDescent="0.35">
      <c r="A999" t="s">
        <v>1165</v>
      </c>
      <c r="B999" s="10">
        <v>2586</v>
      </c>
      <c r="C999" s="10">
        <v>800</v>
      </c>
      <c r="D999" s="10">
        <v>16</v>
      </c>
      <c r="E999" s="11" t="s">
        <v>45</v>
      </c>
      <c r="F999" s="11" t="s">
        <v>46</v>
      </c>
      <c r="G999" t="s">
        <v>15</v>
      </c>
      <c r="H999" s="13">
        <v>44196</v>
      </c>
      <c r="I999" s="14" t="s">
        <v>1166</v>
      </c>
      <c r="J999" t="s">
        <v>98</v>
      </c>
      <c r="K999" t="s">
        <v>107</v>
      </c>
      <c r="L999" s="12" t="s">
        <v>287</v>
      </c>
    </row>
    <row r="1000" spans="1:12" x14ac:dyDescent="0.35">
      <c r="A1000" t="s">
        <v>1165</v>
      </c>
      <c r="B1000" s="10">
        <v>2586</v>
      </c>
      <c r="C1000" s="10">
        <v>800</v>
      </c>
      <c r="D1000" s="10">
        <v>16</v>
      </c>
      <c r="E1000" s="11" t="s">
        <v>45</v>
      </c>
      <c r="F1000" s="11" t="s">
        <v>46</v>
      </c>
      <c r="G1000" t="s">
        <v>15</v>
      </c>
      <c r="H1000" s="13">
        <v>44666</v>
      </c>
      <c r="I1000" s="14" t="s">
        <v>1167</v>
      </c>
      <c r="J1000" t="s">
        <v>98</v>
      </c>
      <c r="K1000" t="s">
        <v>117</v>
      </c>
      <c r="L1000" s="12" t="s">
        <v>187</v>
      </c>
    </row>
    <row r="1001" spans="1:12" x14ac:dyDescent="0.35">
      <c r="A1001" t="s">
        <v>1165</v>
      </c>
      <c r="B1001" s="10">
        <v>2586</v>
      </c>
      <c r="C1001" s="10">
        <v>800</v>
      </c>
      <c r="D1001" s="10">
        <v>16</v>
      </c>
      <c r="E1001" s="11" t="s">
        <v>45</v>
      </c>
      <c r="F1001" s="11" t="s">
        <v>46</v>
      </c>
      <c r="G1001" t="s">
        <v>15</v>
      </c>
      <c r="H1001" s="13">
        <v>45021</v>
      </c>
      <c r="I1001" s="14" t="s">
        <v>1168</v>
      </c>
      <c r="J1001" t="s">
        <v>21</v>
      </c>
      <c r="K1001" t="s">
        <v>22</v>
      </c>
      <c r="L1001" s="12" t="s">
        <v>145</v>
      </c>
    </row>
    <row r="1002" spans="1:12" x14ac:dyDescent="0.35">
      <c r="A1002" t="s">
        <v>1165</v>
      </c>
      <c r="B1002" s="10">
        <v>3757</v>
      </c>
      <c r="C1002" s="10">
        <v>1626</v>
      </c>
      <c r="D1002" s="10">
        <v>9</v>
      </c>
      <c r="E1002" s="11" t="s">
        <v>30</v>
      </c>
      <c r="F1002" s="11" t="s">
        <v>64</v>
      </c>
      <c r="G1002" t="s">
        <v>15</v>
      </c>
      <c r="H1002" s="13">
        <v>44196</v>
      </c>
      <c r="I1002" s="14" t="s">
        <v>1166</v>
      </c>
      <c r="J1002" t="s">
        <v>98</v>
      </c>
      <c r="K1002" t="s">
        <v>107</v>
      </c>
      <c r="L1002" s="12" t="s">
        <v>287</v>
      </c>
    </row>
    <row r="1003" spans="1:12" x14ac:dyDescent="0.35">
      <c r="A1003" t="s">
        <v>1165</v>
      </c>
      <c r="B1003" s="10">
        <v>3757</v>
      </c>
      <c r="C1003" s="10">
        <v>1626</v>
      </c>
      <c r="D1003" s="10">
        <v>9</v>
      </c>
      <c r="E1003" s="11" t="s">
        <v>30</v>
      </c>
      <c r="F1003" s="11" t="s">
        <v>64</v>
      </c>
      <c r="G1003" t="s">
        <v>15</v>
      </c>
      <c r="H1003" s="13">
        <v>44666</v>
      </c>
      <c r="I1003" s="14" t="s">
        <v>1167</v>
      </c>
      <c r="J1003" t="s">
        <v>98</v>
      </c>
      <c r="K1003" t="s">
        <v>117</v>
      </c>
      <c r="L1003" s="12" t="s">
        <v>187</v>
      </c>
    </row>
    <row r="1004" spans="1:12" x14ac:dyDescent="0.35">
      <c r="A1004" t="s">
        <v>1165</v>
      </c>
      <c r="B1004" s="10">
        <v>3757</v>
      </c>
      <c r="C1004" s="10">
        <v>1626</v>
      </c>
      <c r="D1004" s="10">
        <v>9</v>
      </c>
      <c r="E1004" s="11" t="s">
        <v>30</v>
      </c>
      <c r="F1004" s="11" t="s">
        <v>64</v>
      </c>
      <c r="G1004" t="s">
        <v>15</v>
      </c>
      <c r="H1004" s="13">
        <v>45021</v>
      </c>
      <c r="I1004" s="14" t="s">
        <v>1168</v>
      </c>
      <c r="J1004" t="s">
        <v>21</v>
      </c>
      <c r="K1004" t="s">
        <v>22</v>
      </c>
      <c r="L1004" s="12" t="s">
        <v>145</v>
      </c>
    </row>
    <row r="1005" spans="1:12" x14ac:dyDescent="0.35">
      <c r="A1005" t="s">
        <v>1169</v>
      </c>
      <c r="B1005" s="10">
        <v>5193</v>
      </c>
      <c r="C1005" s="10">
        <v>2530</v>
      </c>
      <c r="D1005" s="10">
        <v>5</v>
      </c>
      <c r="E1005" s="11" t="s">
        <v>45</v>
      </c>
      <c r="F1005" s="11" t="s">
        <v>60</v>
      </c>
      <c r="G1005" t="s">
        <v>32</v>
      </c>
      <c r="H1005" s="13">
        <v>44498</v>
      </c>
      <c r="I1005" s="14" t="s">
        <v>1170</v>
      </c>
      <c r="J1005" t="s">
        <v>42</v>
      </c>
      <c r="K1005" t="s">
        <v>75</v>
      </c>
      <c r="L1005" s="12" t="s">
        <v>37</v>
      </c>
    </row>
    <row r="1006" spans="1:12" x14ac:dyDescent="0.35">
      <c r="A1006" t="s">
        <v>1169</v>
      </c>
      <c r="B1006" s="10">
        <v>5193</v>
      </c>
      <c r="C1006" s="10">
        <v>2530</v>
      </c>
      <c r="D1006" s="10">
        <v>5</v>
      </c>
      <c r="E1006" s="11" t="s">
        <v>45</v>
      </c>
      <c r="F1006" s="11" t="s">
        <v>60</v>
      </c>
      <c r="G1006" t="s">
        <v>32</v>
      </c>
      <c r="H1006" s="13">
        <v>45655</v>
      </c>
      <c r="I1006" s="14" t="s">
        <v>1171</v>
      </c>
      <c r="J1006" t="s">
        <v>17</v>
      </c>
      <c r="K1006" t="s">
        <v>18</v>
      </c>
      <c r="L1006" s="12" t="s">
        <v>23</v>
      </c>
    </row>
    <row r="1007" spans="1:12" x14ac:dyDescent="0.35">
      <c r="A1007" t="s">
        <v>1172</v>
      </c>
      <c r="B1007" s="10">
        <v>7493</v>
      </c>
      <c r="C1007" s="10">
        <v>96</v>
      </c>
      <c r="D1007" s="10">
        <v>3</v>
      </c>
      <c r="E1007" s="11" t="s">
        <v>13</v>
      </c>
      <c r="F1007" s="11" t="s">
        <v>14</v>
      </c>
      <c r="G1007" t="s">
        <v>15</v>
      </c>
      <c r="H1007" s="13">
        <v>44054</v>
      </c>
      <c r="I1007" s="14" t="s">
        <v>1173</v>
      </c>
      <c r="J1007" t="s">
        <v>98</v>
      </c>
      <c r="K1007" t="s">
        <v>117</v>
      </c>
      <c r="L1007" s="12" t="s">
        <v>185</v>
      </c>
    </row>
    <row r="1008" spans="1:12" x14ac:dyDescent="0.35">
      <c r="A1008" t="s">
        <v>1174</v>
      </c>
      <c r="B1008" s="10">
        <v>2062</v>
      </c>
      <c r="C1008" s="10">
        <v>848</v>
      </c>
      <c r="D1008" s="10">
        <v>6</v>
      </c>
      <c r="E1008" s="11" t="s">
        <v>30</v>
      </c>
      <c r="F1008" s="11" t="s">
        <v>57</v>
      </c>
      <c r="G1008" t="s">
        <v>47</v>
      </c>
      <c r="H1008" s="13">
        <v>45355</v>
      </c>
      <c r="I1008" s="14" t="s">
        <v>1175</v>
      </c>
      <c r="J1008" t="s">
        <v>17</v>
      </c>
      <c r="K1008" t="s">
        <v>150</v>
      </c>
      <c r="L1008" s="12" t="s">
        <v>338</v>
      </c>
    </row>
    <row r="1009" spans="1:12" x14ac:dyDescent="0.35">
      <c r="A1009" t="s">
        <v>1176</v>
      </c>
      <c r="B1009" s="10">
        <v>7163</v>
      </c>
      <c r="C1009" s="10">
        <v>1536</v>
      </c>
      <c r="D1009" s="10">
        <v>1</v>
      </c>
      <c r="E1009" s="11" t="s">
        <v>13</v>
      </c>
      <c r="F1009" s="11" t="s">
        <v>82</v>
      </c>
      <c r="G1009" t="s">
        <v>40</v>
      </c>
      <c r="H1009" s="13">
        <v>45216</v>
      </c>
      <c r="I1009" s="14" t="s">
        <v>1177</v>
      </c>
      <c r="J1009" t="s">
        <v>42</v>
      </c>
      <c r="K1009" t="s">
        <v>75</v>
      </c>
      <c r="L1009" s="12" t="s">
        <v>442</v>
      </c>
    </row>
    <row r="1010" spans="1:12" x14ac:dyDescent="0.35">
      <c r="A1010" t="s">
        <v>1178</v>
      </c>
      <c r="B1010" s="10">
        <v>4026</v>
      </c>
      <c r="C1010" s="10">
        <v>163</v>
      </c>
      <c r="D1010" s="10">
        <v>6</v>
      </c>
      <c r="E1010" s="11" t="s">
        <v>13</v>
      </c>
      <c r="F1010" s="11" t="s">
        <v>82</v>
      </c>
      <c r="G1010" t="s">
        <v>65</v>
      </c>
      <c r="H1010" s="13">
        <v>45135</v>
      </c>
      <c r="I1010" s="14" t="s">
        <v>1179</v>
      </c>
      <c r="J1010" t="s">
        <v>25</v>
      </c>
      <c r="K1010" t="s">
        <v>51</v>
      </c>
      <c r="L1010" s="12" t="s">
        <v>105</v>
      </c>
    </row>
    <row r="1011" spans="1:12" x14ac:dyDescent="0.35">
      <c r="A1011" t="s">
        <v>1180</v>
      </c>
      <c r="B1011" s="10">
        <v>1894</v>
      </c>
      <c r="C1011" s="10">
        <v>275</v>
      </c>
      <c r="D1011" s="10">
        <v>5</v>
      </c>
      <c r="E1011" s="11" t="s">
        <v>45</v>
      </c>
      <c r="F1011" s="11" t="s">
        <v>49</v>
      </c>
      <c r="G1011" t="s">
        <v>47</v>
      </c>
      <c r="H1011" s="13">
        <v>44527</v>
      </c>
      <c r="I1011" s="14" t="s">
        <v>1181</v>
      </c>
      <c r="J1011" t="s">
        <v>17</v>
      </c>
      <c r="K1011" t="s">
        <v>18</v>
      </c>
      <c r="L1011" s="12" t="s">
        <v>175</v>
      </c>
    </row>
    <row r="1012" spans="1:12" x14ac:dyDescent="0.35">
      <c r="A1012" t="s">
        <v>1180</v>
      </c>
      <c r="B1012" s="10">
        <v>7144</v>
      </c>
      <c r="C1012" s="10">
        <v>192</v>
      </c>
      <c r="D1012" s="10">
        <v>13</v>
      </c>
      <c r="E1012" s="11" t="s">
        <v>13</v>
      </c>
      <c r="F1012" s="11" t="s">
        <v>14</v>
      </c>
      <c r="G1012" t="s">
        <v>47</v>
      </c>
      <c r="H1012" s="13">
        <v>44527</v>
      </c>
      <c r="I1012" s="14" t="s">
        <v>1181</v>
      </c>
      <c r="J1012" t="s">
        <v>17</v>
      </c>
      <c r="K1012" t="s">
        <v>18</v>
      </c>
      <c r="L1012" s="12" t="s">
        <v>175</v>
      </c>
    </row>
    <row r="1013" spans="1:12" x14ac:dyDescent="0.35">
      <c r="A1013" t="s">
        <v>1182</v>
      </c>
      <c r="B1013" s="10">
        <v>3482</v>
      </c>
      <c r="C1013" s="10">
        <v>1554</v>
      </c>
      <c r="D1013" s="10">
        <v>15</v>
      </c>
      <c r="E1013" s="11" t="s">
        <v>13</v>
      </c>
      <c r="F1013" s="11" t="s">
        <v>39</v>
      </c>
      <c r="G1013" t="s">
        <v>32</v>
      </c>
      <c r="H1013" s="13">
        <v>44083</v>
      </c>
      <c r="I1013" s="14" t="s">
        <v>1183</v>
      </c>
      <c r="J1013" t="s">
        <v>98</v>
      </c>
      <c r="K1013" t="s">
        <v>99</v>
      </c>
      <c r="L1013" s="12" t="s">
        <v>389</v>
      </c>
    </row>
    <row r="1014" spans="1:12" x14ac:dyDescent="0.35">
      <c r="A1014" t="s">
        <v>1184</v>
      </c>
      <c r="B1014" s="10">
        <v>4172</v>
      </c>
      <c r="C1014" s="10">
        <v>235</v>
      </c>
      <c r="D1014" s="10">
        <v>5</v>
      </c>
      <c r="E1014" s="11" t="s">
        <v>30</v>
      </c>
      <c r="F1014" s="11" t="s">
        <v>64</v>
      </c>
      <c r="G1014" t="s">
        <v>40</v>
      </c>
      <c r="H1014" s="13">
        <v>44349</v>
      </c>
      <c r="I1014" s="14" t="s">
        <v>1185</v>
      </c>
      <c r="J1014" t="s">
        <v>98</v>
      </c>
      <c r="K1014" t="s">
        <v>117</v>
      </c>
      <c r="L1014" s="12" t="s">
        <v>125</v>
      </c>
    </row>
    <row r="1015" spans="1:12" x14ac:dyDescent="0.35">
      <c r="A1015" t="s">
        <v>1184</v>
      </c>
      <c r="B1015" s="10">
        <v>4172</v>
      </c>
      <c r="C1015" s="10">
        <v>235</v>
      </c>
      <c r="D1015" s="10">
        <v>5</v>
      </c>
      <c r="E1015" s="11" t="s">
        <v>30</v>
      </c>
      <c r="F1015" s="11" t="s">
        <v>64</v>
      </c>
      <c r="G1015" t="s">
        <v>40</v>
      </c>
      <c r="H1015" s="13">
        <v>44795</v>
      </c>
      <c r="I1015" s="14" t="s">
        <v>1186</v>
      </c>
      <c r="J1015" t="s">
        <v>17</v>
      </c>
      <c r="K1015" t="s">
        <v>34</v>
      </c>
      <c r="L1015" s="12" t="s">
        <v>209</v>
      </c>
    </row>
    <row r="1016" spans="1:12" x14ac:dyDescent="0.35">
      <c r="A1016" t="s">
        <v>1184</v>
      </c>
      <c r="B1016" s="10">
        <v>4172</v>
      </c>
      <c r="C1016" s="10">
        <v>235</v>
      </c>
      <c r="D1016" s="10">
        <v>5</v>
      </c>
      <c r="E1016" s="11" t="s">
        <v>30</v>
      </c>
      <c r="F1016" s="11" t="s">
        <v>64</v>
      </c>
      <c r="G1016" t="s">
        <v>40</v>
      </c>
      <c r="H1016" s="13">
        <v>45398</v>
      </c>
      <c r="I1016" s="14" t="s">
        <v>1187</v>
      </c>
      <c r="J1016" t="s">
        <v>21</v>
      </c>
      <c r="K1016" t="s">
        <v>63</v>
      </c>
      <c r="L1016" s="12" t="s">
        <v>235</v>
      </c>
    </row>
    <row r="1017" spans="1:12" x14ac:dyDescent="0.35">
      <c r="A1017" t="s">
        <v>1188</v>
      </c>
      <c r="B1017" s="10">
        <v>6265</v>
      </c>
      <c r="C1017" s="10">
        <v>155</v>
      </c>
      <c r="D1017" s="10">
        <v>8</v>
      </c>
      <c r="E1017" s="11" t="s">
        <v>45</v>
      </c>
      <c r="F1017" s="11" t="s">
        <v>60</v>
      </c>
      <c r="G1017" t="s">
        <v>65</v>
      </c>
      <c r="H1017" s="13">
        <v>44796</v>
      </c>
      <c r="I1017" s="14" t="s">
        <v>1189</v>
      </c>
      <c r="J1017" t="s">
        <v>98</v>
      </c>
      <c r="K1017" t="s">
        <v>107</v>
      </c>
      <c r="L1017" s="12" t="s">
        <v>209</v>
      </c>
    </row>
    <row r="1018" spans="1:12" x14ac:dyDescent="0.35">
      <c r="A1018" t="s">
        <v>1188</v>
      </c>
      <c r="B1018" s="10">
        <v>6265</v>
      </c>
      <c r="C1018" s="10">
        <v>155</v>
      </c>
      <c r="D1018" s="10">
        <v>8</v>
      </c>
      <c r="E1018" s="11" t="s">
        <v>45</v>
      </c>
      <c r="F1018" s="11" t="s">
        <v>60</v>
      </c>
      <c r="G1018" t="s">
        <v>65</v>
      </c>
      <c r="H1018" s="13">
        <v>44267</v>
      </c>
      <c r="I1018" s="14" t="s">
        <v>1190</v>
      </c>
      <c r="J1018" t="s">
        <v>98</v>
      </c>
      <c r="K1018" t="s">
        <v>117</v>
      </c>
      <c r="L1018" s="12" t="s">
        <v>167</v>
      </c>
    </row>
    <row r="1019" spans="1:12" x14ac:dyDescent="0.35">
      <c r="A1019" t="s">
        <v>1191</v>
      </c>
      <c r="B1019" s="10">
        <v>2931</v>
      </c>
      <c r="C1019" s="10">
        <v>212</v>
      </c>
      <c r="D1019" s="10">
        <v>7</v>
      </c>
      <c r="E1019" s="11" t="s">
        <v>13</v>
      </c>
      <c r="F1019" s="11" t="s">
        <v>14</v>
      </c>
      <c r="G1019" t="s">
        <v>47</v>
      </c>
      <c r="H1019" s="13">
        <v>45469</v>
      </c>
      <c r="I1019" s="14" t="s">
        <v>1192</v>
      </c>
      <c r="J1019" t="s">
        <v>21</v>
      </c>
      <c r="K1019" t="s">
        <v>172</v>
      </c>
      <c r="L1019" s="12" t="s">
        <v>262</v>
      </c>
    </row>
    <row r="1020" spans="1:12" x14ac:dyDescent="0.35">
      <c r="A1020" t="s">
        <v>1191</v>
      </c>
      <c r="B1020" s="10">
        <v>2931</v>
      </c>
      <c r="C1020" s="10">
        <v>212</v>
      </c>
      <c r="D1020" s="10">
        <v>7</v>
      </c>
      <c r="E1020" s="11" t="s">
        <v>13</v>
      </c>
      <c r="F1020" s="11" t="s">
        <v>14</v>
      </c>
      <c r="G1020" t="s">
        <v>47</v>
      </c>
      <c r="H1020" s="13">
        <v>45268</v>
      </c>
      <c r="I1020" s="14" t="s">
        <v>1193</v>
      </c>
      <c r="J1020" t="s">
        <v>17</v>
      </c>
      <c r="K1020" t="s">
        <v>150</v>
      </c>
      <c r="L1020" s="12" t="s">
        <v>102</v>
      </c>
    </row>
    <row r="1021" spans="1:12" x14ac:dyDescent="0.35">
      <c r="A1021" t="s">
        <v>1194</v>
      </c>
      <c r="B1021" s="10">
        <v>1146</v>
      </c>
      <c r="C1021" s="10">
        <v>188</v>
      </c>
      <c r="D1021" s="10">
        <v>9</v>
      </c>
      <c r="E1021" s="11" t="s">
        <v>45</v>
      </c>
      <c r="F1021" s="11" t="s">
        <v>49</v>
      </c>
      <c r="G1021" t="s">
        <v>32</v>
      </c>
      <c r="H1021" s="13">
        <v>45623</v>
      </c>
      <c r="I1021" s="14" t="s">
        <v>1195</v>
      </c>
      <c r="J1021" t="s">
        <v>17</v>
      </c>
      <c r="K1021" t="s">
        <v>150</v>
      </c>
      <c r="L1021" s="12" t="s">
        <v>255</v>
      </c>
    </row>
    <row r="1022" spans="1:12" x14ac:dyDescent="0.35">
      <c r="A1022" t="s">
        <v>1196</v>
      </c>
      <c r="B1022" s="10">
        <v>9215</v>
      </c>
      <c r="C1022" s="10">
        <v>767</v>
      </c>
      <c r="D1022" s="10">
        <v>13</v>
      </c>
      <c r="E1022" s="11" t="s">
        <v>13</v>
      </c>
      <c r="F1022" s="11" t="s">
        <v>28</v>
      </c>
      <c r="G1022" t="s">
        <v>65</v>
      </c>
      <c r="H1022" s="13">
        <v>44571</v>
      </c>
      <c r="I1022" s="14" t="s">
        <v>1197</v>
      </c>
      <c r="J1022" t="s">
        <v>17</v>
      </c>
      <c r="K1022" t="s">
        <v>150</v>
      </c>
      <c r="L1022" s="12" t="s">
        <v>87</v>
      </c>
    </row>
    <row r="1023" spans="1:12" x14ac:dyDescent="0.35">
      <c r="A1023" t="s">
        <v>1196</v>
      </c>
      <c r="B1023" s="10">
        <v>9215</v>
      </c>
      <c r="C1023" s="10">
        <v>767</v>
      </c>
      <c r="D1023" s="10">
        <v>13</v>
      </c>
      <c r="E1023" s="11" t="s">
        <v>13</v>
      </c>
      <c r="F1023" s="11" t="s">
        <v>28</v>
      </c>
      <c r="G1023" t="s">
        <v>65</v>
      </c>
      <c r="H1023" s="13">
        <v>44501</v>
      </c>
      <c r="I1023" s="14" t="s">
        <v>1198</v>
      </c>
      <c r="J1023" t="s">
        <v>42</v>
      </c>
      <c r="K1023" t="s">
        <v>92</v>
      </c>
      <c r="L1023" s="12" t="s">
        <v>175</v>
      </c>
    </row>
    <row r="1024" spans="1:12" x14ac:dyDescent="0.35">
      <c r="A1024" t="s">
        <v>1199</v>
      </c>
      <c r="B1024" s="10">
        <v>7895</v>
      </c>
      <c r="C1024" s="10">
        <v>1005</v>
      </c>
      <c r="D1024" s="10">
        <v>1</v>
      </c>
      <c r="E1024" s="11" t="s">
        <v>45</v>
      </c>
      <c r="F1024" s="11" t="s">
        <v>49</v>
      </c>
      <c r="G1024" t="s">
        <v>47</v>
      </c>
      <c r="H1024" s="13">
        <v>45227</v>
      </c>
      <c r="I1024" s="14" t="s">
        <v>1200</v>
      </c>
      <c r="J1024" t="s">
        <v>98</v>
      </c>
      <c r="K1024" t="s">
        <v>107</v>
      </c>
      <c r="L1024" s="12" t="s">
        <v>442</v>
      </c>
    </row>
    <row r="1025" spans="1:12" x14ac:dyDescent="0.35">
      <c r="A1025" t="s">
        <v>1199</v>
      </c>
      <c r="B1025" s="10">
        <v>7895</v>
      </c>
      <c r="C1025" s="10">
        <v>1005</v>
      </c>
      <c r="D1025" s="10">
        <v>1</v>
      </c>
      <c r="E1025" s="11" t="s">
        <v>45</v>
      </c>
      <c r="F1025" s="11" t="s">
        <v>49</v>
      </c>
      <c r="G1025" t="s">
        <v>47</v>
      </c>
      <c r="H1025" s="13">
        <v>45717</v>
      </c>
      <c r="I1025" s="14" t="s">
        <v>1201</v>
      </c>
      <c r="J1025" t="s">
        <v>42</v>
      </c>
      <c r="K1025" t="s">
        <v>75</v>
      </c>
      <c r="L1025" s="12" t="s">
        <v>157</v>
      </c>
    </row>
    <row r="1026" spans="1:12" x14ac:dyDescent="0.35">
      <c r="A1026" t="s">
        <v>1199</v>
      </c>
      <c r="B1026" s="10">
        <v>2740</v>
      </c>
      <c r="C1026" s="10">
        <v>558</v>
      </c>
      <c r="D1026" s="10">
        <v>8</v>
      </c>
      <c r="E1026" s="11" t="s">
        <v>30</v>
      </c>
      <c r="F1026" s="11" t="s">
        <v>31</v>
      </c>
      <c r="G1026" t="s">
        <v>15</v>
      </c>
      <c r="H1026" s="13">
        <v>45227</v>
      </c>
      <c r="I1026" s="14" t="s">
        <v>1200</v>
      </c>
      <c r="J1026" t="s">
        <v>98</v>
      </c>
      <c r="K1026" t="s">
        <v>107</v>
      </c>
      <c r="L1026" s="12" t="s">
        <v>442</v>
      </c>
    </row>
    <row r="1027" spans="1:12" x14ac:dyDescent="0.35">
      <c r="A1027" t="s">
        <v>1199</v>
      </c>
      <c r="B1027" s="10">
        <v>2740</v>
      </c>
      <c r="C1027" s="10">
        <v>558</v>
      </c>
      <c r="D1027" s="10">
        <v>8</v>
      </c>
      <c r="E1027" s="11" t="s">
        <v>30</v>
      </c>
      <c r="F1027" s="11" t="s">
        <v>31</v>
      </c>
      <c r="G1027" t="s">
        <v>15</v>
      </c>
      <c r="H1027" s="13">
        <v>45717</v>
      </c>
      <c r="I1027" s="14" t="s">
        <v>1201</v>
      </c>
      <c r="J1027" t="s">
        <v>42</v>
      </c>
      <c r="K1027" t="s">
        <v>75</v>
      </c>
      <c r="L1027" s="12" t="s">
        <v>157</v>
      </c>
    </row>
    <row r="1028" spans="1:12" x14ac:dyDescent="0.35">
      <c r="A1028" t="s">
        <v>1202</v>
      </c>
      <c r="B1028" s="10">
        <v>5338</v>
      </c>
      <c r="C1028" s="10">
        <v>1354</v>
      </c>
      <c r="D1028" s="10">
        <v>16</v>
      </c>
      <c r="E1028" s="11" t="s">
        <v>30</v>
      </c>
      <c r="F1028" s="11" t="s">
        <v>57</v>
      </c>
      <c r="G1028" t="s">
        <v>15</v>
      </c>
      <c r="H1028" s="13">
        <v>45505</v>
      </c>
      <c r="I1028" s="14" t="s">
        <v>1203</v>
      </c>
      <c r="J1028" t="s">
        <v>21</v>
      </c>
      <c r="K1028" t="s">
        <v>172</v>
      </c>
      <c r="L1028" s="12" t="s">
        <v>114</v>
      </c>
    </row>
    <row r="1029" spans="1:12" x14ac:dyDescent="0.35">
      <c r="A1029" t="s">
        <v>1202</v>
      </c>
      <c r="B1029" s="10">
        <v>5338</v>
      </c>
      <c r="C1029" s="10">
        <v>1354</v>
      </c>
      <c r="D1029" s="10">
        <v>16</v>
      </c>
      <c r="E1029" s="11" t="s">
        <v>30</v>
      </c>
      <c r="F1029" s="11" t="s">
        <v>57</v>
      </c>
      <c r="G1029" t="s">
        <v>15</v>
      </c>
      <c r="H1029" s="13">
        <v>45084</v>
      </c>
      <c r="I1029" s="14" t="s">
        <v>1204</v>
      </c>
      <c r="J1029" t="s">
        <v>25</v>
      </c>
      <c r="K1029" t="s">
        <v>26</v>
      </c>
      <c r="L1029" s="12" t="s">
        <v>19</v>
      </c>
    </row>
    <row r="1030" spans="1:12" x14ac:dyDescent="0.35">
      <c r="A1030" t="s">
        <v>1202</v>
      </c>
      <c r="B1030" s="10">
        <v>5338</v>
      </c>
      <c r="C1030" s="10">
        <v>1354</v>
      </c>
      <c r="D1030" s="10">
        <v>16</v>
      </c>
      <c r="E1030" s="11" t="s">
        <v>30</v>
      </c>
      <c r="F1030" s="11" t="s">
        <v>57</v>
      </c>
      <c r="G1030" t="s">
        <v>15</v>
      </c>
      <c r="H1030" s="13">
        <v>45586</v>
      </c>
      <c r="I1030" s="14" t="s">
        <v>1205</v>
      </c>
      <c r="J1030" t="s">
        <v>17</v>
      </c>
      <c r="K1030" t="s">
        <v>34</v>
      </c>
      <c r="L1030" s="12" t="s">
        <v>360</v>
      </c>
    </row>
    <row r="1031" spans="1:12" x14ac:dyDescent="0.35">
      <c r="A1031" t="s">
        <v>1202</v>
      </c>
      <c r="B1031" s="10">
        <v>5338</v>
      </c>
      <c r="C1031" s="10">
        <v>1354</v>
      </c>
      <c r="D1031" s="10">
        <v>16</v>
      </c>
      <c r="E1031" s="11" t="s">
        <v>30</v>
      </c>
      <c r="F1031" s="11" t="s">
        <v>57</v>
      </c>
      <c r="G1031" t="s">
        <v>15</v>
      </c>
      <c r="H1031" s="13">
        <v>44200</v>
      </c>
      <c r="I1031" s="14" t="s">
        <v>1206</v>
      </c>
      <c r="J1031" t="s">
        <v>25</v>
      </c>
      <c r="K1031" t="s">
        <v>26</v>
      </c>
      <c r="L1031" s="12" t="s">
        <v>276</v>
      </c>
    </row>
    <row r="1032" spans="1:12" x14ac:dyDescent="0.35">
      <c r="A1032" t="s">
        <v>1207</v>
      </c>
      <c r="B1032" s="10">
        <v>3095</v>
      </c>
      <c r="C1032" s="10">
        <v>941</v>
      </c>
      <c r="D1032" s="10">
        <v>2</v>
      </c>
      <c r="E1032" s="11" t="s">
        <v>30</v>
      </c>
      <c r="F1032" s="11" t="s">
        <v>31</v>
      </c>
      <c r="G1032" t="s">
        <v>40</v>
      </c>
      <c r="H1032" s="13">
        <v>44670</v>
      </c>
      <c r="I1032" s="14" t="s">
        <v>1208</v>
      </c>
      <c r="J1032" t="s">
        <v>98</v>
      </c>
      <c r="K1032" t="s">
        <v>117</v>
      </c>
      <c r="L1032" s="12" t="s">
        <v>187</v>
      </c>
    </row>
    <row r="1033" spans="1:12" x14ac:dyDescent="0.35">
      <c r="A1033" t="s">
        <v>1207</v>
      </c>
      <c r="B1033" s="10">
        <v>3095</v>
      </c>
      <c r="C1033" s="10">
        <v>941</v>
      </c>
      <c r="D1033" s="10">
        <v>2</v>
      </c>
      <c r="E1033" s="11" t="s">
        <v>30</v>
      </c>
      <c r="F1033" s="11" t="s">
        <v>31</v>
      </c>
      <c r="G1033" t="s">
        <v>40</v>
      </c>
      <c r="H1033" s="13">
        <v>44784</v>
      </c>
      <c r="I1033" s="14" t="s">
        <v>1209</v>
      </c>
      <c r="J1033" t="s">
        <v>71</v>
      </c>
      <c r="K1033" t="s">
        <v>86</v>
      </c>
      <c r="L1033" s="12" t="s">
        <v>209</v>
      </c>
    </row>
    <row r="1034" spans="1:12" x14ac:dyDescent="0.35">
      <c r="A1034" t="s">
        <v>1210</v>
      </c>
      <c r="B1034" s="10">
        <v>6017</v>
      </c>
      <c r="C1034" s="10">
        <v>2230</v>
      </c>
      <c r="D1034" s="10">
        <v>13</v>
      </c>
      <c r="E1034" s="11" t="s">
        <v>13</v>
      </c>
      <c r="F1034" s="11" t="s">
        <v>28</v>
      </c>
      <c r="G1034" t="s">
        <v>32</v>
      </c>
      <c r="H1034" s="13">
        <v>45142</v>
      </c>
      <c r="I1034" s="14" t="s">
        <v>1211</v>
      </c>
      <c r="J1034" t="s">
        <v>21</v>
      </c>
      <c r="K1034" t="s">
        <v>172</v>
      </c>
      <c r="L1034" s="12" t="s">
        <v>121</v>
      </c>
    </row>
    <row r="1035" spans="1:12" x14ac:dyDescent="0.35">
      <c r="A1035" t="s">
        <v>1212</v>
      </c>
      <c r="B1035" s="10">
        <v>4904</v>
      </c>
      <c r="C1035" s="10">
        <v>469</v>
      </c>
      <c r="D1035" s="10">
        <v>2</v>
      </c>
      <c r="E1035" s="11" t="s">
        <v>30</v>
      </c>
      <c r="F1035" s="11" t="s">
        <v>31</v>
      </c>
      <c r="G1035" t="s">
        <v>32</v>
      </c>
      <c r="H1035" s="13">
        <v>43946</v>
      </c>
      <c r="I1035" s="14" t="s">
        <v>1213</v>
      </c>
      <c r="J1035" t="s">
        <v>71</v>
      </c>
      <c r="K1035" t="s">
        <v>72</v>
      </c>
      <c r="L1035" s="12" t="s">
        <v>162</v>
      </c>
    </row>
    <row r="1036" spans="1:12" x14ac:dyDescent="0.35">
      <c r="A1036" t="s">
        <v>1212</v>
      </c>
      <c r="B1036" s="10">
        <v>3080</v>
      </c>
      <c r="C1036" s="10">
        <v>737</v>
      </c>
      <c r="D1036" s="10">
        <v>6</v>
      </c>
      <c r="E1036" s="11" t="s">
        <v>30</v>
      </c>
      <c r="F1036" s="11" t="s">
        <v>78</v>
      </c>
      <c r="G1036" t="s">
        <v>15</v>
      </c>
      <c r="H1036" s="13">
        <v>43946</v>
      </c>
      <c r="I1036" s="14" t="s">
        <v>1213</v>
      </c>
      <c r="J1036" t="s">
        <v>71</v>
      </c>
      <c r="K1036" t="s">
        <v>72</v>
      </c>
      <c r="L1036" s="12" t="s">
        <v>162</v>
      </c>
    </row>
    <row r="1037" spans="1:12" x14ac:dyDescent="0.35">
      <c r="A1037" t="s">
        <v>1214</v>
      </c>
      <c r="B1037" s="10">
        <v>1992</v>
      </c>
      <c r="C1037" s="10">
        <v>355</v>
      </c>
      <c r="D1037" s="10">
        <v>2</v>
      </c>
      <c r="E1037" s="11" t="s">
        <v>13</v>
      </c>
      <c r="F1037" s="11" t="s">
        <v>82</v>
      </c>
      <c r="G1037" t="s">
        <v>65</v>
      </c>
      <c r="H1037" s="13">
        <v>45640</v>
      </c>
      <c r="I1037" s="14" t="s">
        <v>1215</v>
      </c>
      <c r="J1037" t="s">
        <v>17</v>
      </c>
      <c r="K1037" t="s">
        <v>150</v>
      </c>
      <c r="L1037" s="12" t="s">
        <v>23</v>
      </c>
    </row>
    <row r="1038" spans="1:12" x14ac:dyDescent="0.35">
      <c r="A1038" t="s">
        <v>1216</v>
      </c>
      <c r="B1038" s="10">
        <v>5346</v>
      </c>
      <c r="C1038" s="10">
        <v>1246</v>
      </c>
      <c r="D1038" s="10">
        <v>17</v>
      </c>
      <c r="E1038" s="11" t="s">
        <v>45</v>
      </c>
      <c r="F1038" s="11" t="s">
        <v>60</v>
      </c>
      <c r="G1038" t="s">
        <v>40</v>
      </c>
      <c r="H1038" s="13">
        <v>44767</v>
      </c>
      <c r="I1038" s="14" t="s">
        <v>1217</v>
      </c>
      <c r="J1038" t="s">
        <v>17</v>
      </c>
      <c r="K1038" t="s">
        <v>34</v>
      </c>
      <c r="L1038" s="12" t="s">
        <v>418</v>
      </c>
    </row>
    <row r="1039" spans="1:12" x14ac:dyDescent="0.35">
      <c r="A1039" t="s">
        <v>1216</v>
      </c>
      <c r="B1039" s="10">
        <v>5346</v>
      </c>
      <c r="C1039" s="10">
        <v>1246</v>
      </c>
      <c r="D1039" s="10">
        <v>17</v>
      </c>
      <c r="E1039" s="11" t="s">
        <v>45</v>
      </c>
      <c r="F1039" s="11" t="s">
        <v>60</v>
      </c>
      <c r="G1039" t="s">
        <v>40</v>
      </c>
      <c r="H1039" s="13">
        <v>44688</v>
      </c>
      <c r="I1039" s="14" t="s">
        <v>1218</v>
      </c>
      <c r="J1039" t="s">
        <v>17</v>
      </c>
      <c r="K1039" t="s">
        <v>18</v>
      </c>
      <c r="L1039" s="12" t="s">
        <v>180</v>
      </c>
    </row>
    <row r="1040" spans="1:12" x14ac:dyDescent="0.35">
      <c r="A1040" t="s">
        <v>1219</v>
      </c>
      <c r="B1040" s="10">
        <v>8422</v>
      </c>
      <c r="C1040" s="10">
        <v>893</v>
      </c>
      <c r="D1040" s="10">
        <v>18</v>
      </c>
      <c r="E1040" s="11" t="s">
        <v>13</v>
      </c>
      <c r="F1040" s="11" t="s">
        <v>28</v>
      </c>
      <c r="G1040" t="s">
        <v>32</v>
      </c>
      <c r="H1040" s="13">
        <v>44784</v>
      </c>
      <c r="I1040" s="14" t="s">
        <v>1220</v>
      </c>
      <c r="J1040" t="s">
        <v>42</v>
      </c>
      <c r="K1040" t="s">
        <v>92</v>
      </c>
      <c r="L1040" s="12" t="s">
        <v>209</v>
      </c>
    </row>
    <row r="1041" spans="1:12" x14ac:dyDescent="0.35">
      <c r="A1041" t="s">
        <v>1219</v>
      </c>
      <c r="B1041" s="10">
        <v>8422</v>
      </c>
      <c r="C1041" s="10">
        <v>893</v>
      </c>
      <c r="D1041" s="10">
        <v>18</v>
      </c>
      <c r="E1041" s="11" t="s">
        <v>13</v>
      </c>
      <c r="F1041" s="11" t="s">
        <v>28</v>
      </c>
      <c r="G1041" t="s">
        <v>32</v>
      </c>
      <c r="H1041" s="13">
        <v>44785</v>
      </c>
      <c r="I1041" s="14" t="s">
        <v>1221</v>
      </c>
      <c r="J1041" t="s">
        <v>98</v>
      </c>
      <c r="K1041" t="s">
        <v>99</v>
      </c>
      <c r="L1041" s="12" t="s">
        <v>209</v>
      </c>
    </row>
    <row r="1042" spans="1:12" x14ac:dyDescent="0.35">
      <c r="A1042" t="s">
        <v>1219</v>
      </c>
      <c r="B1042" s="10">
        <v>6105</v>
      </c>
      <c r="C1042" s="10">
        <v>1447</v>
      </c>
      <c r="D1042" s="10">
        <v>8</v>
      </c>
      <c r="E1042" s="11" t="s">
        <v>45</v>
      </c>
      <c r="F1042" s="11" t="s">
        <v>109</v>
      </c>
      <c r="G1042" t="s">
        <v>47</v>
      </c>
      <c r="H1042" s="13">
        <v>44784</v>
      </c>
      <c r="I1042" s="14" t="s">
        <v>1220</v>
      </c>
      <c r="J1042" t="s">
        <v>42</v>
      </c>
      <c r="K1042" t="s">
        <v>92</v>
      </c>
      <c r="L1042" s="12" t="s">
        <v>209</v>
      </c>
    </row>
    <row r="1043" spans="1:12" x14ac:dyDescent="0.35">
      <c r="A1043" t="s">
        <v>1219</v>
      </c>
      <c r="B1043" s="10">
        <v>6105</v>
      </c>
      <c r="C1043" s="10">
        <v>1447</v>
      </c>
      <c r="D1043" s="10">
        <v>8</v>
      </c>
      <c r="E1043" s="11" t="s">
        <v>45</v>
      </c>
      <c r="F1043" s="11" t="s">
        <v>109</v>
      </c>
      <c r="G1043" t="s">
        <v>47</v>
      </c>
      <c r="H1043" s="13">
        <v>44785</v>
      </c>
      <c r="I1043" s="14" t="s">
        <v>1221</v>
      </c>
      <c r="J1043" t="s">
        <v>98</v>
      </c>
      <c r="K1043" t="s">
        <v>99</v>
      </c>
      <c r="L1043" s="12" t="s">
        <v>209</v>
      </c>
    </row>
    <row r="1044" spans="1:12" x14ac:dyDescent="0.35">
      <c r="A1044" t="s">
        <v>1222</v>
      </c>
      <c r="B1044" s="10">
        <v>670</v>
      </c>
      <c r="C1044" s="10">
        <v>85</v>
      </c>
      <c r="D1044" s="10">
        <v>9</v>
      </c>
      <c r="E1044" s="11" t="s">
        <v>30</v>
      </c>
      <c r="F1044" s="11" t="s">
        <v>31</v>
      </c>
      <c r="G1044" t="s">
        <v>40</v>
      </c>
      <c r="H1044" s="13">
        <v>45159</v>
      </c>
      <c r="I1044" s="14" t="s">
        <v>1223</v>
      </c>
      <c r="J1044" t="s">
        <v>71</v>
      </c>
      <c r="K1044" t="s">
        <v>138</v>
      </c>
      <c r="L1044" s="12" t="s">
        <v>121</v>
      </c>
    </row>
    <row r="1045" spans="1:12" x14ac:dyDescent="0.35">
      <c r="A1045" t="s">
        <v>1224</v>
      </c>
      <c r="B1045" s="10">
        <v>4057</v>
      </c>
      <c r="C1045" s="10">
        <v>1012</v>
      </c>
      <c r="D1045" s="10">
        <v>6</v>
      </c>
      <c r="E1045" s="11" t="s">
        <v>13</v>
      </c>
      <c r="F1045" s="11" t="s">
        <v>39</v>
      </c>
      <c r="G1045" t="s">
        <v>47</v>
      </c>
      <c r="H1045" s="13">
        <v>44816</v>
      </c>
      <c r="I1045" s="14" t="s">
        <v>1225</v>
      </c>
      <c r="J1045" t="s">
        <v>42</v>
      </c>
      <c r="K1045" t="s">
        <v>75</v>
      </c>
      <c r="L1045" s="12" t="s">
        <v>131</v>
      </c>
    </row>
    <row r="1046" spans="1:12" x14ac:dyDescent="0.35">
      <c r="A1046" t="s">
        <v>1226</v>
      </c>
      <c r="B1046" s="10">
        <v>8178</v>
      </c>
      <c r="C1046" s="10">
        <v>2462</v>
      </c>
      <c r="D1046" s="10">
        <v>10</v>
      </c>
      <c r="E1046" s="11" t="s">
        <v>30</v>
      </c>
      <c r="F1046" s="11" t="s">
        <v>31</v>
      </c>
      <c r="G1046" t="s">
        <v>15</v>
      </c>
      <c r="H1046" s="13">
        <v>45158</v>
      </c>
      <c r="I1046" s="14" t="s">
        <v>1227</v>
      </c>
      <c r="J1046" t="s">
        <v>42</v>
      </c>
      <c r="K1046" t="s">
        <v>43</v>
      </c>
      <c r="L1046" s="12" t="s">
        <v>121</v>
      </c>
    </row>
    <row r="1047" spans="1:12" x14ac:dyDescent="0.35">
      <c r="A1047" t="s">
        <v>1228</v>
      </c>
      <c r="B1047" s="10">
        <v>8752</v>
      </c>
      <c r="C1047" s="10">
        <v>1686</v>
      </c>
      <c r="D1047" s="10">
        <v>9</v>
      </c>
      <c r="E1047" s="11" t="s">
        <v>45</v>
      </c>
      <c r="F1047" s="11" t="s">
        <v>46</v>
      </c>
      <c r="G1047" t="s">
        <v>32</v>
      </c>
      <c r="H1047" s="13">
        <v>44192</v>
      </c>
      <c r="I1047" s="14" t="s">
        <v>1229</v>
      </c>
      <c r="J1047" t="s">
        <v>98</v>
      </c>
      <c r="K1047" t="s">
        <v>107</v>
      </c>
      <c r="L1047" s="12" t="s">
        <v>287</v>
      </c>
    </row>
    <row r="1048" spans="1:12" x14ac:dyDescent="0.35">
      <c r="A1048" t="s">
        <v>1228</v>
      </c>
      <c r="B1048" s="10">
        <v>8752</v>
      </c>
      <c r="C1048" s="10">
        <v>1686</v>
      </c>
      <c r="D1048" s="10">
        <v>9</v>
      </c>
      <c r="E1048" s="11" t="s">
        <v>45</v>
      </c>
      <c r="F1048" s="11" t="s">
        <v>46</v>
      </c>
      <c r="G1048" t="s">
        <v>32</v>
      </c>
      <c r="H1048" s="13">
        <v>45173</v>
      </c>
      <c r="I1048" s="14" t="s">
        <v>1230</v>
      </c>
      <c r="J1048" t="s">
        <v>21</v>
      </c>
      <c r="K1048" t="s">
        <v>172</v>
      </c>
      <c r="L1048" s="12" t="s">
        <v>273</v>
      </c>
    </row>
    <row r="1049" spans="1:12" x14ac:dyDescent="0.35">
      <c r="A1049" t="s">
        <v>1228</v>
      </c>
      <c r="B1049" s="10">
        <v>8752</v>
      </c>
      <c r="C1049" s="10">
        <v>1686</v>
      </c>
      <c r="D1049" s="10">
        <v>9</v>
      </c>
      <c r="E1049" s="11" t="s">
        <v>45</v>
      </c>
      <c r="F1049" s="11" t="s">
        <v>46</v>
      </c>
      <c r="G1049" t="s">
        <v>32</v>
      </c>
      <c r="H1049" s="13">
        <v>44569</v>
      </c>
      <c r="I1049" s="14" t="s">
        <v>1231</v>
      </c>
      <c r="J1049" t="s">
        <v>21</v>
      </c>
      <c r="K1049" t="s">
        <v>22</v>
      </c>
      <c r="L1049" s="12" t="s">
        <v>87</v>
      </c>
    </row>
    <row r="1050" spans="1:12" x14ac:dyDescent="0.35">
      <c r="A1050" t="s">
        <v>1232</v>
      </c>
      <c r="B1050" s="10">
        <v>8974</v>
      </c>
      <c r="C1050" s="10">
        <v>4441</v>
      </c>
      <c r="D1050" s="10">
        <v>16</v>
      </c>
      <c r="E1050" s="11" t="s">
        <v>13</v>
      </c>
      <c r="F1050" s="11" t="s">
        <v>28</v>
      </c>
      <c r="G1050" t="s">
        <v>40</v>
      </c>
      <c r="H1050" s="13">
        <v>45082</v>
      </c>
      <c r="I1050" s="14" t="s">
        <v>1233</v>
      </c>
      <c r="J1050" t="s">
        <v>25</v>
      </c>
      <c r="K1050" t="s">
        <v>51</v>
      </c>
      <c r="L1050" s="12" t="s">
        <v>19</v>
      </c>
    </row>
    <row r="1051" spans="1:12" x14ac:dyDescent="0.35">
      <c r="A1051" t="s">
        <v>1234</v>
      </c>
      <c r="B1051" s="10">
        <v>9090</v>
      </c>
      <c r="C1051" s="10">
        <v>3098</v>
      </c>
      <c r="D1051" s="10">
        <v>16</v>
      </c>
      <c r="E1051" s="11" t="s">
        <v>13</v>
      </c>
      <c r="F1051" s="11" t="s">
        <v>82</v>
      </c>
      <c r="G1051" t="s">
        <v>47</v>
      </c>
      <c r="H1051" s="13">
        <v>44287</v>
      </c>
      <c r="I1051" s="14" t="s">
        <v>1235</v>
      </c>
      <c r="J1051" t="s">
        <v>71</v>
      </c>
      <c r="K1051" t="s">
        <v>72</v>
      </c>
      <c r="L1051" s="12" t="s">
        <v>139</v>
      </c>
    </row>
    <row r="1052" spans="1:12" x14ac:dyDescent="0.35">
      <c r="A1052" t="s">
        <v>1234</v>
      </c>
      <c r="B1052" s="10">
        <v>9090</v>
      </c>
      <c r="C1052" s="10">
        <v>3098</v>
      </c>
      <c r="D1052" s="10">
        <v>16</v>
      </c>
      <c r="E1052" s="11" t="s">
        <v>13</v>
      </c>
      <c r="F1052" s="11" t="s">
        <v>82</v>
      </c>
      <c r="G1052" t="s">
        <v>47</v>
      </c>
      <c r="H1052" s="13">
        <v>45440</v>
      </c>
      <c r="I1052" s="14" t="s">
        <v>1236</v>
      </c>
      <c r="J1052" t="s">
        <v>21</v>
      </c>
      <c r="K1052" t="s">
        <v>63</v>
      </c>
      <c r="L1052" s="12" t="s">
        <v>35</v>
      </c>
    </row>
    <row r="1053" spans="1:12" x14ac:dyDescent="0.35">
      <c r="A1053" t="s">
        <v>1234</v>
      </c>
      <c r="B1053" s="10">
        <v>851</v>
      </c>
      <c r="C1053" s="10">
        <v>356</v>
      </c>
      <c r="D1053" s="10">
        <v>11</v>
      </c>
      <c r="E1053" s="11" t="s">
        <v>13</v>
      </c>
      <c r="F1053" s="11" t="s">
        <v>14</v>
      </c>
      <c r="G1053" t="s">
        <v>47</v>
      </c>
      <c r="H1053" s="13">
        <v>44287</v>
      </c>
      <c r="I1053" s="14" t="s">
        <v>1235</v>
      </c>
      <c r="J1053" t="s">
        <v>71</v>
      </c>
      <c r="K1053" t="s">
        <v>72</v>
      </c>
      <c r="L1053" s="12" t="s">
        <v>139</v>
      </c>
    </row>
    <row r="1054" spans="1:12" x14ac:dyDescent="0.35">
      <c r="A1054" t="s">
        <v>1234</v>
      </c>
      <c r="B1054" s="10">
        <v>851</v>
      </c>
      <c r="C1054" s="10">
        <v>356</v>
      </c>
      <c r="D1054" s="10">
        <v>11</v>
      </c>
      <c r="E1054" s="11" t="s">
        <v>13</v>
      </c>
      <c r="F1054" s="11" t="s">
        <v>14</v>
      </c>
      <c r="G1054" t="s">
        <v>47</v>
      </c>
      <c r="H1054" s="13">
        <v>45440</v>
      </c>
      <c r="I1054" s="14" t="s">
        <v>1236</v>
      </c>
      <c r="J1054" t="s">
        <v>21</v>
      </c>
      <c r="K1054" t="s">
        <v>63</v>
      </c>
      <c r="L1054" s="12" t="s">
        <v>35</v>
      </c>
    </row>
    <row r="1055" spans="1:12" x14ac:dyDescent="0.35">
      <c r="A1055" t="s">
        <v>1237</v>
      </c>
      <c r="B1055" s="10">
        <v>5427</v>
      </c>
      <c r="C1055" s="10">
        <v>728</v>
      </c>
      <c r="D1055" s="10">
        <v>3</v>
      </c>
      <c r="E1055" s="11" t="s">
        <v>13</v>
      </c>
      <c r="F1055" s="11" t="s">
        <v>82</v>
      </c>
      <c r="G1055" t="s">
        <v>15</v>
      </c>
      <c r="H1055" s="13">
        <v>44994</v>
      </c>
      <c r="I1055" s="14" t="s">
        <v>1238</v>
      </c>
      <c r="J1055" t="s">
        <v>17</v>
      </c>
      <c r="K1055" t="s">
        <v>18</v>
      </c>
      <c r="L1055" s="12" t="s">
        <v>245</v>
      </c>
    </row>
    <row r="1056" spans="1:12" x14ac:dyDescent="0.35">
      <c r="A1056" t="s">
        <v>1239</v>
      </c>
      <c r="B1056" s="10">
        <v>2695</v>
      </c>
      <c r="C1056" s="10">
        <v>914</v>
      </c>
      <c r="D1056" s="10">
        <v>15</v>
      </c>
      <c r="E1056" s="11" t="s">
        <v>45</v>
      </c>
      <c r="F1056" s="11" t="s">
        <v>109</v>
      </c>
      <c r="G1056" t="s">
        <v>32</v>
      </c>
      <c r="H1056" s="13">
        <v>44770</v>
      </c>
      <c r="I1056" s="14" t="s">
        <v>1240</v>
      </c>
      <c r="J1056" t="s">
        <v>21</v>
      </c>
      <c r="K1056" t="s">
        <v>172</v>
      </c>
      <c r="L1056" s="12" t="s">
        <v>418</v>
      </c>
    </row>
    <row r="1057" spans="1:12" x14ac:dyDescent="0.35">
      <c r="A1057" t="s">
        <v>1239</v>
      </c>
      <c r="B1057" s="10">
        <v>2695</v>
      </c>
      <c r="C1057" s="10">
        <v>914</v>
      </c>
      <c r="D1057" s="10">
        <v>15</v>
      </c>
      <c r="E1057" s="11" t="s">
        <v>45</v>
      </c>
      <c r="F1057" s="11" t="s">
        <v>109</v>
      </c>
      <c r="G1057" t="s">
        <v>32</v>
      </c>
      <c r="H1057" s="13">
        <v>44364</v>
      </c>
      <c r="I1057" s="14" t="s">
        <v>1241</v>
      </c>
      <c r="J1057" t="s">
        <v>42</v>
      </c>
      <c r="K1057" t="s">
        <v>43</v>
      </c>
      <c r="L1057" s="12" t="s">
        <v>125</v>
      </c>
    </row>
    <row r="1058" spans="1:12" x14ac:dyDescent="0.35">
      <c r="A1058" t="s">
        <v>1242</v>
      </c>
      <c r="B1058" s="10">
        <v>2386</v>
      </c>
      <c r="C1058" s="10">
        <v>999</v>
      </c>
      <c r="D1058" s="10">
        <v>3</v>
      </c>
      <c r="E1058" s="11" t="s">
        <v>30</v>
      </c>
      <c r="F1058" s="11" t="s">
        <v>31</v>
      </c>
      <c r="G1058" t="s">
        <v>65</v>
      </c>
      <c r="H1058" s="13">
        <v>45335</v>
      </c>
      <c r="I1058" s="14" t="s">
        <v>1243</v>
      </c>
      <c r="J1058" t="s">
        <v>17</v>
      </c>
      <c r="K1058" t="s">
        <v>18</v>
      </c>
      <c r="L1058" s="12" t="s">
        <v>218</v>
      </c>
    </row>
    <row r="1059" spans="1:12" x14ac:dyDescent="0.35">
      <c r="A1059" t="s">
        <v>1244</v>
      </c>
      <c r="B1059" s="10">
        <v>2284</v>
      </c>
      <c r="C1059" s="10">
        <v>149</v>
      </c>
      <c r="D1059" s="10">
        <v>20</v>
      </c>
      <c r="E1059" s="11" t="s">
        <v>30</v>
      </c>
      <c r="F1059" s="11" t="s">
        <v>31</v>
      </c>
      <c r="G1059" t="s">
        <v>32</v>
      </c>
      <c r="H1059" s="13">
        <v>44414</v>
      </c>
      <c r="I1059" s="14" t="s">
        <v>1245</v>
      </c>
      <c r="J1059" t="s">
        <v>25</v>
      </c>
      <c r="K1059" t="s">
        <v>68</v>
      </c>
      <c r="L1059" s="12" t="s">
        <v>178</v>
      </c>
    </row>
    <row r="1060" spans="1:12" x14ac:dyDescent="0.35">
      <c r="A1060" t="s">
        <v>1246</v>
      </c>
      <c r="B1060" s="10">
        <v>6034</v>
      </c>
      <c r="C1060" s="10">
        <v>608</v>
      </c>
      <c r="D1060" s="10">
        <v>8</v>
      </c>
      <c r="E1060" s="11" t="s">
        <v>13</v>
      </c>
      <c r="F1060" s="11" t="s">
        <v>82</v>
      </c>
      <c r="G1060" t="s">
        <v>40</v>
      </c>
      <c r="H1060" s="13">
        <v>44682</v>
      </c>
      <c r="I1060" s="14" t="s">
        <v>1247</v>
      </c>
      <c r="J1060" t="s">
        <v>71</v>
      </c>
      <c r="K1060" t="s">
        <v>138</v>
      </c>
      <c r="L1060" s="12" t="s">
        <v>180</v>
      </c>
    </row>
    <row r="1061" spans="1:12" x14ac:dyDescent="0.35">
      <c r="A1061" t="s">
        <v>1246</v>
      </c>
      <c r="B1061" s="10">
        <v>8956</v>
      </c>
      <c r="C1061" s="10">
        <v>3359</v>
      </c>
      <c r="D1061" s="10">
        <v>13</v>
      </c>
      <c r="E1061" s="11" t="s">
        <v>45</v>
      </c>
      <c r="F1061" s="11" t="s">
        <v>109</v>
      </c>
      <c r="G1061" t="s">
        <v>47</v>
      </c>
      <c r="H1061" s="13">
        <v>44682</v>
      </c>
      <c r="I1061" s="14" t="s">
        <v>1247</v>
      </c>
      <c r="J1061" t="s">
        <v>71</v>
      </c>
      <c r="K1061" t="s">
        <v>138</v>
      </c>
      <c r="L1061" s="12" t="s">
        <v>180</v>
      </c>
    </row>
    <row r="1062" spans="1:12" x14ac:dyDescent="0.35">
      <c r="A1062" t="s">
        <v>1248</v>
      </c>
      <c r="B1062" s="10">
        <v>7122</v>
      </c>
      <c r="C1062" s="10">
        <v>1982</v>
      </c>
      <c r="D1062" s="10">
        <v>7</v>
      </c>
      <c r="E1062" s="11" t="s">
        <v>30</v>
      </c>
      <c r="F1062" s="11" t="s">
        <v>57</v>
      </c>
      <c r="G1062" t="s">
        <v>40</v>
      </c>
      <c r="H1062" s="13">
        <v>45362</v>
      </c>
      <c r="I1062" s="14" t="s">
        <v>1249</v>
      </c>
      <c r="J1062" t="s">
        <v>21</v>
      </c>
      <c r="K1062" t="s">
        <v>172</v>
      </c>
      <c r="L1062" s="12" t="s">
        <v>338</v>
      </c>
    </row>
    <row r="1063" spans="1:12" x14ac:dyDescent="0.35">
      <c r="A1063" t="s">
        <v>1250</v>
      </c>
      <c r="B1063" s="10">
        <v>9775</v>
      </c>
      <c r="C1063" s="10">
        <v>4507</v>
      </c>
      <c r="D1063" s="10">
        <v>5</v>
      </c>
      <c r="E1063" s="11" t="s">
        <v>30</v>
      </c>
      <c r="F1063" s="11" t="s">
        <v>57</v>
      </c>
      <c r="G1063" t="s">
        <v>15</v>
      </c>
      <c r="H1063" s="13">
        <v>44018</v>
      </c>
      <c r="I1063" s="14" t="s">
        <v>1251</v>
      </c>
      <c r="J1063" t="s">
        <v>98</v>
      </c>
      <c r="K1063" t="s">
        <v>107</v>
      </c>
      <c r="L1063" s="12" t="s">
        <v>462</v>
      </c>
    </row>
    <row r="1064" spans="1:12" x14ac:dyDescent="0.35">
      <c r="A1064" t="s">
        <v>1252</v>
      </c>
      <c r="B1064" s="10">
        <v>3309</v>
      </c>
      <c r="C1064" s="10">
        <v>177</v>
      </c>
      <c r="D1064" s="10">
        <v>13</v>
      </c>
      <c r="E1064" s="11" t="s">
        <v>45</v>
      </c>
      <c r="F1064" s="11" t="s">
        <v>109</v>
      </c>
      <c r="G1064" t="s">
        <v>40</v>
      </c>
      <c r="H1064" s="13">
        <v>44182</v>
      </c>
      <c r="I1064" s="14" t="s">
        <v>1253</v>
      </c>
      <c r="J1064" t="s">
        <v>98</v>
      </c>
      <c r="K1064" t="s">
        <v>117</v>
      </c>
      <c r="L1064" s="12" t="s">
        <v>287</v>
      </c>
    </row>
    <row r="1065" spans="1:12" x14ac:dyDescent="0.35">
      <c r="A1065" t="s">
        <v>1254</v>
      </c>
      <c r="B1065" s="10">
        <v>4163</v>
      </c>
      <c r="C1065" s="10">
        <v>897</v>
      </c>
      <c r="D1065" s="10">
        <v>14</v>
      </c>
      <c r="E1065" s="11" t="s">
        <v>13</v>
      </c>
      <c r="F1065" s="11" t="s">
        <v>14</v>
      </c>
      <c r="G1065" t="s">
        <v>65</v>
      </c>
      <c r="H1065" s="13">
        <v>44803</v>
      </c>
      <c r="I1065" s="14" t="s">
        <v>1255</v>
      </c>
      <c r="J1065" t="s">
        <v>21</v>
      </c>
      <c r="K1065" t="s">
        <v>63</v>
      </c>
      <c r="L1065" s="12" t="s">
        <v>209</v>
      </c>
    </row>
    <row r="1066" spans="1:12" x14ac:dyDescent="0.35">
      <c r="A1066" t="s">
        <v>1254</v>
      </c>
      <c r="B1066" s="10">
        <v>4163</v>
      </c>
      <c r="C1066" s="10">
        <v>897</v>
      </c>
      <c r="D1066" s="10">
        <v>14</v>
      </c>
      <c r="E1066" s="11" t="s">
        <v>13</v>
      </c>
      <c r="F1066" s="11" t="s">
        <v>14</v>
      </c>
      <c r="G1066" t="s">
        <v>65</v>
      </c>
      <c r="H1066" s="13">
        <v>45715</v>
      </c>
      <c r="I1066" s="14" t="s">
        <v>1256</v>
      </c>
      <c r="J1066" t="s">
        <v>98</v>
      </c>
      <c r="K1066" t="s">
        <v>117</v>
      </c>
      <c r="L1066" s="12" t="s">
        <v>73</v>
      </c>
    </row>
    <row r="1067" spans="1:12" x14ac:dyDescent="0.35">
      <c r="A1067" t="s">
        <v>1254</v>
      </c>
      <c r="B1067" s="10">
        <v>4163</v>
      </c>
      <c r="C1067" s="10">
        <v>897</v>
      </c>
      <c r="D1067" s="10">
        <v>14</v>
      </c>
      <c r="E1067" s="11" t="s">
        <v>13</v>
      </c>
      <c r="F1067" s="11" t="s">
        <v>14</v>
      </c>
      <c r="G1067" t="s">
        <v>65</v>
      </c>
      <c r="H1067" s="13">
        <v>44352</v>
      </c>
      <c r="I1067" s="14" t="s">
        <v>1257</v>
      </c>
      <c r="J1067" t="s">
        <v>17</v>
      </c>
      <c r="K1067" t="s">
        <v>34</v>
      </c>
      <c r="L1067" s="12" t="s">
        <v>125</v>
      </c>
    </row>
    <row r="1068" spans="1:12" x14ac:dyDescent="0.35">
      <c r="A1068" t="s">
        <v>1258</v>
      </c>
      <c r="B1068" s="10">
        <v>5518</v>
      </c>
      <c r="C1068" s="10">
        <v>867</v>
      </c>
      <c r="D1068" s="10">
        <v>7</v>
      </c>
      <c r="E1068" s="11" t="s">
        <v>45</v>
      </c>
      <c r="F1068" s="11" t="s">
        <v>60</v>
      </c>
      <c r="G1068" t="s">
        <v>15</v>
      </c>
      <c r="H1068" s="13">
        <v>44917</v>
      </c>
      <c r="I1068" s="14" t="s">
        <v>1259</v>
      </c>
      <c r="J1068" t="s">
        <v>71</v>
      </c>
      <c r="K1068" t="s">
        <v>138</v>
      </c>
      <c r="L1068" s="12" t="s">
        <v>152</v>
      </c>
    </row>
    <row r="1069" spans="1:12" x14ac:dyDescent="0.35">
      <c r="A1069" t="s">
        <v>1260</v>
      </c>
      <c r="B1069" s="10">
        <v>7566</v>
      </c>
      <c r="C1069" s="10">
        <v>606</v>
      </c>
      <c r="D1069" s="10">
        <v>6</v>
      </c>
      <c r="E1069" s="11" t="s">
        <v>13</v>
      </c>
      <c r="F1069" s="11" t="s">
        <v>82</v>
      </c>
      <c r="G1069" t="s">
        <v>32</v>
      </c>
      <c r="H1069" s="13">
        <v>45682</v>
      </c>
      <c r="I1069" s="14" t="s">
        <v>1261</v>
      </c>
      <c r="J1069" t="s">
        <v>98</v>
      </c>
      <c r="K1069" t="s">
        <v>99</v>
      </c>
      <c r="L1069" s="12" t="s">
        <v>308</v>
      </c>
    </row>
    <row r="1070" spans="1:12" x14ac:dyDescent="0.35">
      <c r="A1070" t="s">
        <v>1260</v>
      </c>
      <c r="B1070" s="10">
        <v>7566</v>
      </c>
      <c r="C1070" s="10">
        <v>606</v>
      </c>
      <c r="D1070" s="10">
        <v>6</v>
      </c>
      <c r="E1070" s="11" t="s">
        <v>13</v>
      </c>
      <c r="F1070" s="11" t="s">
        <v>82</v>
      </c>
      <c r="G1070" t="s">
        <v>32</v>
      </c>
      <c r="H1070" s="13">
        <v>45702</v>
      </c>
      <c r="I1070" s="14" t="s">
        <v>1262</v>
      </c>
      <c r="J1070" t="s">
        <v>42</v>
      </c>
      <c r="K1070" t="s">
        <v>75</v>
      </c>
      <c r="L1070" s="12" t="s">
        <v>73</v>
      </c>
    </row>
    <row r="1071" spans="1:12" x14ac:dyDescent="0.35">
      <c r="A1071" t="s">
        <v>1263</v>
      </c>
      <c r="B1071" s="10">
        <v>762</v>
      </c>
      <c r="C1071" s="10">
        <v>92</v>
      </c>
      <c r="D1071" s="10">
        <v>11</v>
      </c>
      <c r="E1071" s="11" t="s">
        <v>13</v>
      </c>
      <c r="F1071" s="11" t="s">
        <v>28</v>
      </c>
      <c r="G1071" t="s">
        <v>65</v>
      </c>
      <c r="H1071" s="13">
        <v>44932</v>
      </c>
      <c r="I1071" s="14" t="s">
        <v>1264</v>
      </c>
      <c r="J1071" t="s">
        <v>21</v>
      </c>
      <c r="K1071" t="s">
        <v>63</v>
      </c>
      <c r="L1071" s="12" t="s">
        <v>333</v>
      </c>
    </row>
    <row r="1072" spans="1:12" x14ac:dyDescent="0.35">
      <c r="A1072" t="s">
        <v>1265</v>
      </c>
      <c r="B1072" s="10">
        <v>3316</v>
      </c>
      <c r="C1072" s="10">
        <v>126</v>
      </c>
      <c r="D1072" s="10">
        <v>6</v>
      </c>
      <c r="E1072" s="11" t="s">
        <v>13</v>
      </c>
      <c r="F1072" s="11" t="s">
        <v>39</v>
      </c>
      <c r="G1072" t="s">
        <v>65</v>
      </c>
      <c r="H1072" s="13">
        <v>44115</v>
      </c>
      <c r="I1072" s="14" t="s">
        <v>1266</v>
      </c>
      <c r="J1072" t="s">
        <v>98</v>
      </c>
      <c r="K1072" t="s">
        <v>107</v>
      </c>
      <c r="L1072" s="12" t="s">
        <v>119</v>
      </c>
    </row>
    <row r="1073" spans="1:12" x14ac:dyDescent="0.35">
      <c r="A1073" t="s">
        <v>1267</v>
      </c>
      <c r="B1073" s="10">
        <v>5994</v>
      </c>
      <c r="C1073" s="10">
        <v>2826</v>
      </c>
      <c r="D1073" s="10">
        <v>9</v>
      </c>
      <c r="E1073" s="11" t="s">
        <v>45</v>
      </c>
      <c r="F1073" s="11" t="s">
        <v>109</v>
      </c>
      <c r="G1073" t="s">
        <v>40</v>
      </c>
      <c r="H1073" s="13">
        <v>45070</v>
      </c>
      <c r="I1073" s="14" t="s">
        <v>1268</v>
      </c>
      <c r="J1073" t="s">
        <v>42</v>
      </c>
      <c r="K1073" t="s">
        <v>92</v>
      </c>
      <c r="L1073" s="12" t="s">
        <v>127</v>
      </c>
    </row>
    <row r="1074" spans="1:12" x14ac:dyDescent="0.35">
      <c r="A1074" t="s">
        <v>1267</v>
      </c>
      <c r="B1074" s="10">
        <v>5994</v>
      </c>
      <c r="C1074" s="10">
        <v>2826</v>
      </c>
      <c r="D1074" s="10">
        <v>9</v>
      </c>
      <c r="E1074" s="11" t="s">
        <v>45</v>
      </c>
      <c r="F1074" s="11" t="s">
        <v>109</v>
      </c>
      <c r="G1074" t="s">
        <v>40</v>
      </c>
      <c r="H1074" s="13">
        <v>45363</v>
      </c>
      <c r="I1074" s="14" t="s">
        <v>1269</v>
      </c>
      <c r="J1074" t="s">
        <v>42</v>
      </c>
      <c r="K1074" t="s">
        <v>43</v>
      </c>
      <c r="L1074" s="12" t="s">
        <v>338</v>
      </c>
    </row>
    <row r="1075" spans="1:12" x14ac:dyDescent="0.35">
      <c r="A1075" t="s">
        <v>1267</v>
      </c>
      <c r="B1075" s="10">
        <v>5994</v>
      </c>
      <c r="C1075" s="10">
        <v>2826</v>
      </c>
      <c r="D1075" s="10">
        <v>9</v>
      </c>
      <c r="E1075" s="11" t="s">
        <v>45</v>
      </c>
      <c r="F1075" s="11" t="s">
        <v>109</v>
      </c>
      <c r="G1075" t="s">
        <v>40</v>
      </c>
      <c r="H1075" s="13">
        <v>45368</v>
      </c>
      <c r="I1075" s="14" t="s">
        <v>1270</v>
      </c>
      <c r="J1075" t="s">
        <v>25</v>
      </c>
      <c r="K1075" t="s">
        <v>51</v>
      </c>
      <c r="L1075" s="12" t="s">
        <v>338</v>
      </c>
    </row>
    <row r="1076" spans="1:12" x14ac:dyDescent="0.35">
      <c r="A1076" t="s">
        <v>1271</v>
      </c>
      <c r="B1076" s="10">
        <v>3854</v>
      </c>
      <c r="C1076" s="10">
        <v>245</v>
      </c>
      <c r="D1076" s="10">
        <v>19</v>
      </c>
      <c r="E1076" s="11" t="s">
        <v>13</v>
      </c>
      <c r="F1076" s="11" t="s">
        <v>39</v>
      </c>
      <c r="G1076" t="s">
        <v>65</v>
      </c>
      <c r="H1076" s="13">
        <v>44698</v>
      </c>
      <c r="I1076" s="14" t="s">
        <v>1272</v>
      </c>
      <c r="J1076" t="s">
        <v>98</v>
      </c>
      <c r="K1076" t="s">
        <v>99</v>
      </c>
      <c r="L1076" s="12" t="s">
        <v>180</v>
      </c>
    </row>
    <row r="1077" spans="1:12" x14ac:dyDescent="0.35">
      <c r="A1077" t="s">
        <v>1273</v>
      </c>
      <c r="B1077" s="10">
        <v>7019</v>
      </c>
      <c r="C1077" s="10">
        <v>2677</v>
      </c>
      <c r="D1077" s="10">
        <v>15</v>
      </c>
      <c r="E1077" s="11" t="s">
        <v>30</v>
      </c>
      <c r="F1077" s="11" t="s">
        <v>57</v>
      </c>
      <c r="G1077" t="s">
        <v>15</v>
      </c>
      <c r="H1077" s="13">
        <v>44186</v>
      </c>
      <c r="I1077" s="14" t="s">
        <v>1274</v>
      </c>
      <c r="J1077" t="s">
        <v>17</v>
      </c>
      <c r="K1077" t="s">
        <v>18</v>
      </c>
      <c r="L1077" s="12" t="s">
        <v>287</v>
      </c>
    </row>
    <row r="1078" spans="1:12" x14ac:dyDescent="0.35">
      <c r="A1078" t="s">
        <v>1275</v>
      </c>
      <c r="B1078" s="10">
        <v>5954</v>
      </c>
      <c r="C1078" s="10">
        <v>2640</v>
      </c>
      <c r="D1078" s="10">
        <v>14</v>
      </c>
      <c r="E1078" s="11" t="s">
        <v>13</v>
      </c>
      <c r="F1078" s="11" t="s">
        <v>39</v>
      </c>
      <c r="G1078" t="s">
        <v>47</v>
      </c>
      <c r="H1078" s="13">
        <v>44432</v>
      </c>
      <c r="I1078" s="14" t="s">
        <v>1276</v>
      </c>
      <c r="J1078" t="s">
        <v>25</v>
      </c>
      <c r="K1078" t="s">
        <v>51</v>
      </c>
      <c r="L1078" s="12" t="s">
        <v>178</v>
      </c>
    </row>
    <row r="1079" spans="1:12" x14ac:dyDescent="0.35">
      <c r="A1079" t="s">
        <v>1275</v>
      </c>
      <c r="B1079" s="10">
        <v>5954</v>
      </c>
      <c r="C1079" s="10">
        <v>2640</v>
      </c>
      <c r="D1079" s="10">
        <v>14</v>
      </c>
      <c r="E1079" s="11" t="s">
        <v>13</v>
      </c>
      <c r="F1079" s="11" t="s">
        <v>39</v>
      </c>
      <c r="G1079" t="s">
        <v>47</v>
      </c>
      <c r="H1079" s="13">
        <v>44856</v>
      </c>
      <c r="I1079" s="14" t="s">
        <v>1277</v>
      </c>
      <c r="J1079" t="s">
        <v>71</v>
      </c>
      <c r="K1079" t="s">
        <v>72</v>
      </c>
      <c r="L1079" s="12" t="s">
        <v>96</v>
      </c>
    </row>
    <row r="1080" spans="1:12" x14ac:dyDescent="0.35">
      <c r="A1080" t="s">
        <v>1278</v>
      </c>
      <c r="B1080" s="10">
        <v>9752</v>
      </c>
      <c r="C1080" s="10">
        <v>3618</v>
      </c>
      <c r="D1080" s="10">
        <v>5</v>
      </c>
      <c r="E1080" s="11" t="s">
        <v>45</v>
      </c>
      <c r="F1080" s="11" t="s">
        <v>109</v>
      </c>
      <c r="G1080" t="s">
        <v>32</v>
      </c>
      <c r="H1080" s="13">
        <v>45343</v>
      </c>
      <c r="I1080" s="14" t="s">
        <v>1279</v>
      </c>
      <c r="J1080" t="s">
        <v>25</v>
      </c>
      <c r="K1080" t="s">
        <v>68</v>
      </c>
      <c r="L1080" s="12" t="s">
        <v>218</v>
      </c>
    </row>
    <row r="1081" spans="1:12" x14ac:dyDescent="0.35">
      <c r="A1081" t="s">
        <v>1278</v>
      </c>
      <c r="B1081" s="10">
        <v>9752</v>
      </c>
      <c r="C1081" s="10">
        <v>3618</v>
      </c>
      <c r="D1081" s="10">
        <v>5</v>
      </c>
      <c r="E1081" s="11" t="s">
        <v>45</v>
      </c>
      <c r="F1081" s="11" t="s">
        <v>109</v>
      </c>
      <c r="G1081" t="s">
        <v>32</v>
      </c>
      <c r="H1081" s="13">
        <v>44865</v>
      </c>
      <c r="I1081" s="14" t="s">
        <v>1280</v>
      </c>
      <c r="J1081" t="s">
        <v>21</v>
      </c>
      <c r="K1081" t="s">
        <v>172</v>
      </c>
      <c r="L1081" s="12" t="s">
        <v>96</v>
      </c>
    </row>
    <row r="1082" spans="1:12" x14ac:dyDescent="0.35">
      <c r="A1082" t="s">
        <v>1281</v>
      </c>
      <c r="B1082" s="10">
        <v>5335</v>
      </c>
      <c r="C1082" s="10">
        <v>322</v>
      </c>
      <c r="D1082" s="10">
        <v>15</v>
      </c>
      <c r="E1082" s="11" t="s">
        <v>13</v>
      </c>
      <c r="F1082" s="11" t="s">
        <v>14</v>
      </c>
      <c r="G1082" t="s">
        <v>65</v>
      </c>
      <c r="H1082" s="13">
        <v>44696</v>
      </c>
      <c r="I1082" s="14" t="s">
        <v>1282</v>
      </c>
      <c r="J1082" t="s">
        <v>25</v>
      </c>
      <c r="K1082" t="s">
        <v>51</v>
      </c>
      <c r="L1082" s="12" t="s">
        <v>180</v>
      </c>
    </row>
    <row r="1083" spans="1:12" x14ac:dyDescent="0.35">
      <c r="A1083" t="s">
        <v>1283</v>
      </c>
      <c r="B1083" s="10">
        <v>1454</v>
      </c>
      <c r="C1083" s="10">
        <v>80</v>
      </c>
      <c r="D1083" s="10">
        <v>20</v>
      </c>
      <c r="E1083" s="11" t="s">
        <v>13</v>
      </c>
      <c r="F1083" s="11" t="s">
        <v>14</v>
      </c>
      <c r="G1083" t="s">
        <v>47</v>
      </c>
      <c r="H1083" s="13">
        <v>44764</v>
      </c>
      <c r="I1083" s="14" t="s">
        <v>1284</v>
      </c>
      <c r="J1083" t="s">
        <v>25</v>
      </c>
      <c r="K1083" t="s">
        <v>68</v>
      </c>
      <c r="L1083" s="12" t="s">
        <v>418</v>
      </c>
    </row>
    <row r="1084" spans="1:12" x14ac:dyDescent="0.35">
      <c r="A1084" t="s">
        <v>1285</v>
      </c>
      <c r="B1084" s="10">
        <v>6724</v>
      </c>
      <c r="C1084" s="10">
        <v>1539</v>
      </c>
      <c r="D1084" s="10">
        <v>19</v>
      </c>
      <c r="E1084" s="11" t="s">
        <v>45</v>
      </c>
      <c r="F1084" s="11" t="s">
        <v>109</v>
      </c>
      <c r="G1084" t="s">
        <v>65</v>
      </c>
      <c r="H1084" s="13">
        <v>44543</v>
      </c>
      <c r="I1084" s="14" t="s">
        <v>1286</v>
      </c>
      <c r="J1084" t="s">
        <v>42</v>
      </c>
      <c r="K1084" t="s">
        <v>92</v>
      </c>
      <c r="L1084" s="12" t="s">
        <v>90</v>
      </c>
    </row>
    <row r="1085" spans="1:12" x14ac:dyDescent="0.35">
      <c r="A1085" t="s">
        <v>1285</v>
      </c>
      <c r="B1085" s="10">
        <v>6724</v>
      </c>
      <c r="C1085" s="10">
        <v>1539</v>
      </c>
      <c r="D1085" s="10">
        <v>19</v>
      </c>
      <c r="E1085" s="11" t="s">
        <v>45</v>
      </c>
      <c r="F1085" s="11" t="s">
        <v>109</v>
      </c>
      <c r="G1085" t="s">
        <v>65</v>
      </c>
      <c r="H1085" s="13">
        <v>44350</v>
      </c>
      <c r="I1085" s="14" t="s">
        <v>1287</v>
      </c>
      <c r="J1085" t="s">
        <v>71</v>
      </c>
      <c r="K1085" t="s">
        <v>72</v>
      </c>
      <c r="L1085" s="12" t="s">
        <v>125</v>
      </c>
    </row>
    <row r="1086" spans="1:12" x14ac:dyDescent="0.35">
      <c r="A1086" t="s">
        <v>1288</v>
      </c>
      <c r="B1086" s="10">
        <v>9874</v>
      </c>
      <c r="C1086" s="10">
        <v>3895</v>
      </c>
      <c r="D1086" s="10">
        <v>4</v>
      </c>
      <c r="E1086" s="11" t="s">
        <v>30</v>
      </c>
      <c r="F1086" s="11" t="s">
        <v>78</v>
      </c>
      <c r="G1086" t="s">
        <v>40</v>
      </c>
      <c r="H1086" s="13">
        <v>45712</v>
      </c>
      <c r="I1086" s="14" t="s">
        <v>1289</v>
      </c>
      <c r="J1086" t="s">
        <v>98</v>
      </c>
      <c r="K1086" t="s">
        <v>117</v>
      </c>
      <c r="L1086" s="12" t="s">
        <v>73</v>
      </c>
    </row>
    <row r="1087" spans="1:12" x14ac:dyDescent="0.35">
      <c r="A1087" t="s">
        <v>1290</v>
      </c>
      <c r="B1087" s="10">
        <v>4918</v>
      </c>
      <c r="C1087" s="10">
        <v>1485</v>
      </c>
      <c r="D1087" s="10">
        <v>7</v>
      </c>
      <c r="E1087" s="11" t="s">
        <v>13</v>
      </c>
      <c r="F1087" s="11" t="s">
        <v>82</v>
      </c>
      <c r="G1087" t="s">
        <v>15</v>
      </c>
      <c r="H1087" s="13">
        <v>44959</v>
      </c>
      <c r="I1087" s="14" t="s">
        <v>1291</v>
      </c>
      <c r="J1087" t="s">
        <v>17</v>
      </c>
      <c r="K1087" t="s">
        <v>150</v>
      </c>
      <c r="L1087" s="12" t="s">
        <v>93</v>
      </c>
    </row>
    <row r="1088" spans="1:12" x14ac:dyDescent="0.35">
      <c r="A1088" t="s">
        <v>1292</v>
      </c>
      <c r="B1088" s="10">
        <v>3189</v>
      </c>
      <c r="C1088" s="10">
        <v>1180</v>
      </c>
      <c r="D1088" s="10">
        <v>19</v>
      </c>
      <c r="E1088" s="11" t="s">
        <v>30</v>
      </c>
      <c r="F1088" s="11" t="s">
        <v>64</v>
      </c>
      <c r="G1088" t="s">
        <v>47</v>
      </c>
      <c r="H1088" s="13">
        <v>44561</v>
      </c>
      <c r="I1088" s="14" t="s">
        <v>1293</v>
      </c>
      <c r="J1088" t="s">
        <v>25</v>
      </c>
      <c r="K1088" t="s">
        <v>51</v>
      </c>
      <c r="L1088" s="12" t="s">
        <v>90</v>
      </c>
    </row>
    <row r="1089" spans="1:12" x14ac:dyDescent="0.35">
      <c r="A1089" t="s">
        <v>1294</v>
      </c>
      <c r="B1089" s="10">
        <v>2684</v>
      </c>
      <c r="C1089" s="10">
        <v>713</v>
      </c>
      <c r="D1089" s="10">
        <v>2</v>
      </c>
      <c r="E1089" s="11" t="s">
        <v>13</v>
      </c>
      <c r="F1089" s="11" t="s">
        <v>14</v>
      </c>
      <c r="G1089" t="s">
        <v>15</v>
      </c>
      <c r="H1089" s="13">
        <v>45458</v>
      </c>
      <c r="I1089" s="14" t="s">
        <v>1295</v>
      </c>
      <c r="J1089" t="s">
        <v>25</v>
      </c>
      <c r="K1089" t="s">
        <v>51</v>
      </c>
      <c r="L1089" s="12" t="s">
        <v>262</v>
      </c>
    </row>
    <row r="1090" spans="1:12" x14ac:dyDescent="0.35">
      <c r="A1090" t="s">
        <v>1294</v>
      </c>
      <c r="B1090" s="10">
        <v>2684</v>
      </c>
      <c r="C1090" s="10">
        <v>713</v>
      </c>
      <c r="D1090" s="10">
        <v>2</v>
      </c>
      <c r="E1090" s="11" t="s">
        <v>13</v>
      </c>
      <c r="F1090" s="11" t="s">
        <v>14</v>
      </c>
      <c r="G1090" t="s">
        <v>15</v>
      </c>
      <c r="H1090" s="13">
        <v>44717</v>
      </c>
      <c r="I1090" s="14" t="s">
        <v>1296</v>
      </c>
      <c r="J1090" t="s">
        <v>25</v>
      </c>
      <c r="K1090" t="s">
        <v>26</v>
      </c>
      <c r="L1090" s="12" t="s">
        <v>165</v>
      </c>
    </row>
    <row r="1091" spans="1:12" x14ac:dyDescent="0.35">
      <c r="A1091" t="s">
        <v>1294</v>
      </c>
      <c r="B1091" s="10">
        <v>2684</v>
      </c>
      <c r="C1091" s="10">
        <v>713</v>
      </c>
      <c r="D1091" s="10">
        <v>2</v>
      </c>
      <c r="E1091" s="11" t="s">
        <v>13</v>
      </c>
      <c r="F1091" s="11" t="s">
        <v>14</v>
      </c>
      <c r="G1091" t="s">
        <v>15</v>
      </c>
      <c r="H1091" s="13">
        <v>43962</v>
      </c>
      <c r="I1091" s="14" t="s">
        <v>1297</v>
      </c>
      <c r="J1091" t="s">
        <v>71</v>
      </c>
      <c r="K1091" t="s">
        <v>72</v>
      </c>
      <c r="L1091" s="12" t="s">
        <v>59</v>
      </c>
    </row>
    <row r="1092" spans="1:12" x14ac:dyDescent="0.35">
      <c r="A1092" t="s">
        <v>1298</v>
      </c>
      <c r="B1092" s="10">
        <v>7626</v>
      </c>
      <c r="C1092" s="10">
        <v>229</v>
      </c>
      <c r="D1092" s="10">
        <v>5</v>
      </c>
      <c r="E1092" s="11" t="s">
        <v>30</v>
      </c>
      <c r="F1092" s="11" t="s">
        <v>31</v>
      </c>
      <c r="G1092" t="s">
        <v>40</v>
      </c>
      <c r="H1092" s="13">
        <v>45333</v>
      </c>
      <c r="I1092" s="14" t="s">
        <v>1299</v>
      </c>
      <c r="J1092" t="s">
        <v>21</v>
      </c>
      <c r="K1092" t="s">
        <v>63</v>
      </c>
      <c r="L1092" s="12" t="s">
        <v>218</v>
      </c>
    </row>
    <row r="1093" spans="1:12" x14ac:dyDescent="0.35">
      <c r="A1093" t="s">
        <v>1298</v>
      </c>
      <c r="B1093" s="10">
        <v>7626</v>
      </c>
      <c r="C1093" s="10">
        <v>229</v>
      </c>
      <c r="D1093" s="10">
        <v>5</v>
      </c>
      <c r="E1093" s="11" t="s">
        <v>30</v>
      </c>
      <c r="F1093" s="11" t="s">
        <v>31</v>
      </c>
      <c r="G1093" t="s">
        <v>40</v>
      </c>
      <c r="H1093" s="13">
        <v>44160</v>
      </c>
      <c r="I1093" s="14" t="s">
        <v>1300</v>
      </c>
      <c r="J1093" t="s">
        <v>98</v>
      </c>
      <c r="K1093" t="s">
        <v>99</v>
      </c>
      <c r="L1093" s="12" t="s">
        <v>80</v>
      </c>
    </row>
    <row r="1094" spans="1:12" x14ac:dyDescent="0.35">
      <c r="A1094" t="s">
        <v>1301</v>
      </c>
      <c r="B1094" s="10">
        <v>6669</v>
      </c>
      <c r="C1094" s="10">
        <v>3063</v>
      </c>
      <c r="D1094" s="10">
        <v>19</v>
      </c>
      <c r="E1094" s="11" t="s">
        <v>13</v>
      </c>
      <c r="F1094" s="11" t="s">
        <v>28</v>
      </c>
      <c r="G1094" t="s">
        <v>15</v>
      </c>
      <c r="H1094" s="13">
        <v>45150</v>
      </c>
      <c r="I1094" s="14" t="s">
        <v>1302</v>
      </c>
      <c r="J1094" t="s">
        <v>98</v>
      </c>
      <c r="K1094" t="s">
        <v>107</v>
      </c>
      <c r="L1094" s="12" t="s">
        <v>121</v>
      </c>
    </row>
    <row r="1095" spans="1:12" x14ac:dyDescent="0.35">
      <c r="A1095" t="s">
        <v>1303</v>
      </c>
      <c r="B1095" s="10">
        <v>6123</v>
      </c>
      <c r="C1095" s="10">
        <v>1686</v>
      </c>
      <c r="D1095" s="10">
        <v>3</v>
      </c>
      <c r="E1095" s="11" t="s">
        <v>30</v>
      </c>
      <c r="F1095" s="11" t="s">
        <v>57</v>
      </c>
      <c r="G1095" t="s">
        <v>47</v>
      </c>
      <c r="H1095" s="13">
        <v>44687</v>
      </c>
      <c r="I1095" s="14" t="s">
        <v>1304</v>
      </c>
      <c r="J1095" t="s">
        <v>98</v>
      </c>
      <c r="K1095" t="s">
        <v>107</v>
      </c>
      <c r="L1095" s="12" t="s">
        <v>180</v>
      </c>
    </row>
    <row r="1096" spans="1:12" x14ac:dyDescent="0.35">
      <c r="A1096" t="s">
        <v>1305</v>
      </c>
      <c r="B1096" s="10">
        <v>3265</v>
      </c>
      <c r="C1096" s="10">
        <v>1390</v>
      </c>
      <c r="D1096" s="10">
        <v>16</v>
      </c>
      <c r="E1096" s="11" t="s">
        <v>30</v>
      </c>
      <c r="F1096" s="11" t="s">
        <v>64</v>
      </c>
      <c r="G1096" t="s">
        <v>47</v>
      </c>
      <c r="H1096" s="13">
        <v>45308</v>
      </c>
      <c r="I1096" s="14" t="s">
        <v>1306</v>
      </c>
      <c r="J1096" t="s">
        <v>42</v>
      </c>
      <c r="K1096" t="s">
        <v>43</v>
      </c>
      <c r="L1096" s="12" t="s">
        <v>76</v>
      </c>
    </row>
    <row r="1097" spans="1:12" x14ac:dyDescent="0.35">
      <c r="A1097" t="s">
        <v>1307</v>
      </c>
      <c r="B1097" s="10">
        <v>8104</v>
      </c>
      <c r="C1097" s="10">
        <v>1039</v>
      </c>
      <c r="D1097" s="10">
        <v>6</v>
      </c>
      <c r="E1097" s="11" t="s">
        <v>30</v>
      </c>
      <c r="F1097" s="11" t="s">
        <v>57</v>
      </c>
      <c r="G1097" t="s">
        <v>65</v>
      </c>
      <c r="H1097" s="13">
        <v>44524</v>
      </c>
      <c r="I1097" s="14" t="s">
        <v>1308</v>
      </c>
      <c r="J1097" t="s">
        <v>17</v>
      </c>
      <c r="K1097" t="s">
        <v>34</v>
      </c>
      <c r="L1097" s="12" t="s">
        <v>175</v>
      </c>
    </row>
    <row r="1098" spans="1:12" x14ac:dyDescent="0.35">
      <c r="A1098" t="s">
        <v>1307</v>
      </c>
      <c r="B1098" s="10">
        <v>8104</v>
      </c>
      <c r="C1098" s="10">
        <v>1039</v>
      </c>
      <c r="D1098" s="10">
        <v>6</v>
      </c>
      <c r="E1098" s="11" t="s">
        <v>30</v>
      </c>
      <c r="F1098" s="11" t="s">
        <v>57</v>
      </c>
      <c r="G1098" t="s">
        <v>65</v>
      </c>
      <c r="H1098" s="13">
        <v>44475</v>
      </c>
      <c r="I1098" s="14" t="s">
        <v>1309</v>
      </c>
      <c r="J1098" t="s">
        <v>17</v>
      </c>
      <c r="K1098" t="s">
        <v>18</v>
      </c>
      <c r="L1098" s="12" t="s">
        <v>37</v>
      </c>
    </row>
    <row r="1099" spans="1:12" x14ac:dyDescent="0.35">
      <c r="A1099" t="s">
        <v>1307</v>
      </c>
      <c r="B1099" s="10">
        <v>8104</v>
      </c>
      <c r="C1099" s="10">
        <v>1039</v>
      </c>
      <c r="D1099" s="10">
        <v>6</v>
      </c>
      <c r="E1099" s="11" t="s">
        <v>30</v>
      </c>
      <c r="F1099" s="11" t="s">
        <v>57</v>
      </c>
      <c r="G1099" t="s">
        <v>65</v>
      </c>
      <c r="H1099" s="13">
        <v>45684</v>
      </c>
      <c r="I1099" s="14" t="s">
        <v>1310</v>
      </c>
      <c r="J1099" t="s">
        <v>42</v>
      </c>
      <c r="K1099" t="s">
        <v>92</v>
      </c>
      <c r="L1099" s="12" t="s">
        <v>308</v>
      </c>
    </row>
    <row r="1100" spans="1:12" x14ac:dyDescent="0.35">
      <c r="A1100" t="s">
        <v>1311</v>
      </c>
      <c r="B1100" s="10">
        <v>847</v>
      </c>
      <c r="C1100" s="10">
        <v>355</v>
      </c>
      <c r="D1100" s="10">
        <v>17</v>
      </c>
      <c r="E1100" s="11" t="s">
        <v>45</v>
      </c>
      <c r="F1100" s="11" t="s">
        <v>46</v>
      </c>
      <c r="G1100" t="s">
        <v>65</v>
      </c>
      <c r="H1100" s="13">
        <v>44704</v>
      </c>
      <c r="I1100" s="14" t="s">
        <v>1312</v>
      </c>
      <c r="J1100" t="s">
        <v>25</v>
      </c>
      <c r="K1100" t="s">
        <v>26</v>
      </c>
      <c r="L1100" s="12" t="s">
        <v>180</v>
      </c>
    </row>
    <row r="1101" spans="1:12" x14ac:dyDescent="0.35">
      <c r="A1101" t="s">
        <v>1311</v>
      </c>
      <c r="B1101" s="10">
        <v>847</v>
      </c>
      <c r="C1101" s="10">
        <v>355</v>
      </c>
      <c r="D1101" s="10">
        <v>17</v>
      </c>
      <c r="E1101" s="11" t="s">
        <v>45</v>
      </c>
      <c r="F1101" s="11" t="s">
        <v>46</v>
      </c>
      <c r="G1101" t="s">
        <v>65</v>
      </c>
      <c r="H1101" s="13">
        <v>45258</v>
      </c>
      <c r="I1101" s="14" t="s">
        <v>1313</v>
      </c>
      <c r="J1101" t="s">
        <v>71</v>
      </c>
      <c r="K1101" t="s">
        <v>86</v>
      </c>
      <c r="L1101" s="12" t="s">
        <v>52</v>
      </c>
    </row>
    <row r="1102" spans="1:12" x14ac:dyDescent="0.35">
      <c r="A1102" t="s">
        <v>1311</v>
      </c>
      <c r="B1102" s="10">
        <v>847</v>
      </c>
      <c r="C1102" s="10">
        <v>355</v>
      </c>
      <c r="D1102" s="10">
        <v>17</v>
      </c>
      <c r="E1102" s="11" t="s">
        <v>45</v>
      </c>
      <c r="F1102" s="11" t="s">
        <v>46</v>
      </c>
      <c r="G1102" t="s">
        <v>65</v>
      </c>
      <c r="H1102" s="13">
        <v>44944</v>
      </c>
      <c r="I1102" s="14" t="s">
        <v>1314</v>
      </c>
      <c r="J1102" t="s">
        <v>42</v>
      </c>
      <c r="K1102" t="s">
        <v>92</v>
      </c>
      <c r="L1102" s="12" t="s">
        <v>333</v>
      </c>
    </row>
    <row r="1103" spans="1:12" x14ac:dyDescent="0.35">
      <c r="A1103" t="s">
        <v>1315</v>
      </c>
      <c r="B1103" s="10">
        <v>3129</v>
      </c>
      <c r="C1103" s="10">
        <v>55</v>
      </c>
      <c r="D1103" s="10">
        <v>9</v>
      </c>
      <c r="E1103" s="11" t="s">
        <v>45</v>
      </c>
      <c r="F1103" s="11" t="s">
        <v>109</v>
      </c>
      <c r="G1103" t="s">
        <v>32</v>
      </c>
      <c r="H1103" s="13">
        <v>44445</v>
      </c>
      <c r="I1103" s="14" t="s">
        <v>1316</v>
      </c>
      <c r="J1103" t="s">
        <v>21</v>
      </c>
      <c r="K1103" t="s">
        <v>172</v>
      </c>
      <c r="L1103" s="12" t="s">
        <v>224</v>
      </c>
    </row>
    <row r="1104" spans="1:12" x14ac:dyDescent="0.35">
      <c r="A1104" t="s">
        <v>1315</v>
      </c>
      <c r="B1104" s="10">
        <v>7821</v>
      </c>
      <c r="C1104" s="10">
        <v>3821</v>
      </c>
      <c r="D1104" s="10">
        <v>13</v>
      </c>
      <c r="E1104" s="11" t="s">
        <v>13</v>
      </c>
      <c r="F1104" s="11" t="s">
        <v>39</v>
      </c>
      <c r="G1104" t="s">
        <v>40</v>
      </c>
      <c r="H1104" s="13">
        <v>44445</v>
      </c>
      <c r="I1104" s="14" t="s">
        <v>1316</v>
      </c>
      <c r="J1104" t="s">
        <v>21</v>
      </c>
      <c r="K1104" t="s">
        <v>172</v>
      </c>
      <c r="L1104" s="12" t="s">
        <v>224</v>
      </c>
    </row>
    <row r="1105" spans="1:12" x14ac:dyDescent="0.35">
      <c r="A1105" t="s">
        <v>1317</v>
      </c>
      <c r="B1105" s="10">
        <v>9498</v>
      </c>
      <c r="C1105" s="10">
        <v>256</v>
      </c>
      <c r="D1105" s="10">
        <v>12</v>
      </c>
      <c r="E1105" s="11" t="s">
        <v>13</v>
      </c>
      <c r="F1105" s="11" t="s">
        <v>82</v>
      </c>
      <c r="G1105" t="s">
        <v>65</v>
      </c>
      <c r="H1105" s="13">
        <v>44249</v>
      </c>
      <c r="I1105" s="14" t="s">
        <v>1318</v>
      </c>
      <c r="J1105" t="s">
        <v>21</v>
      </c>
      <c r="K1105" t="s">
        <v>172</v>
      </c>
      <c r="L1105" s="12" t="s">
        <v>292</v>
      </c>
    </row>
    <row r="1106" spans="1:12" x14ac:dyDescent="0.35">
      <c r="A1106" t="s">
        <v>1317</v>
      </c>
      <c r="B1106" s="10">
        <v>9498</v>
      </c>
      <c r="C1106" s="10">
        <v>256</v>
      </c>
      <c r="D1106" s="10">
        <v>12</v>
      </c>
      <c r="E1106" s="11" t="s">
        <v>13</v>
      </c>
      <c r="F1106" s="11" t="s">
        <v>82</v>
      </c>
      <c r="G1106" t="s">
        <v>65</v>
      </c>
      <c r="H1106" s="13">
        <v>44475</v>
      </c>
      <c r="I1106" s="14" t="s">
        <v>1319</v>
      </c>
      <c r="J1106" t="s">
        <v>25</v>
      </c>
      <c r="K1106" t="s">
        <v>51</v>
      </c>
      <c r="L1106" s="12" t="s">
        <v>37</v>
      </c>
    </row>
    <row r="1107" spans="1:12" x14ac:dyDescent="0.35">
      <c r="A1107" t="s">
        <v>1320</v>
      </c>
      <c r="B1107" s="10">
        <v>5461</v>
      </c>
      <c r="C1107" s="10">
        <v>1214</v>
      </c>
      <c r="D1107" s="10">
        <v>7</v>
      </c>
      <c r="E1107" s="11" t="s">
        <v>45</v>
      </c>
      <c r="F1107" s="11" t="s">
        <v>60</v>
      </c>
      <c r="G1107" t="s">
        <v>47</v>
      </c>
      <c r="H1107" s="13">
        <v>43989</v>
      </c>
      <c r="I1107" s="14" t="s">
        <v>1321</v>
      </c>
      <c r="J1107" t="s">
        <v>25</v>
      </c>
      <c r="K1107" t="s">
        <v>68</v>
      </c>
      <c r="L1107" s="12" t="s">
        <v>313</v>
      </c>
    </row>
    <row r="1108" spans="1:12" x14ac:dyDescent="0.35">
      <c r="A1108" t="s">
        <v>1322</v>
      </c>
      <c r="B1108" s="10">
        <v>3084</v>
      </c>
      <c r="C1108" s="10">
        <v>611</v>
      </c>
      <c r="D1108" s="10">
        <v>19</v>
      </c>
      <c r="E1108" s="11" t="s">
        <v>45</v>
      </c>
      <c r="F1108" s="11" t="s">
        <v>109</v>
      </c>
      <c r="G1108" t="s">
        <v>15</v>
      </c>
      <c r="H1108" s="13">
        <v>45433</v>
      </c>
      <c r="I1108" s="14" t="s">
        <v>1323</v>
      </c>
      <c r="J1108" t="s">
        <v>71</v>
      </c>
      <c r="K1108" t="s">
        <v>72</v>
      </c>
      <c r="L1108" s="12" t="s">
        <v>35</v>
      </c>
    </row>
    <row r="1109" spans="1:12" x14ac:dyDescent="0.35">
      <c r="A1109" t="s">
        <v>1324</v>
      </c>
      <c r="B1109" s="10">
        <v>6087</v>
      </c>
      <c r="C1109" s="10">
        <v>3043</v>
      </c>
      <c r="D1109" s="10">
        <v>1</v>
      </c>
      <c r="E1109" s="11" t="s">
        <v>45</v>
      </c>
      <c r="F1109" s="11" t="s">
        <v>60</v>
      </c>
      <c r="G1109" t="s">
        <v>65</v>
      </c>
      <c r="H1109" s="13">
        <v>44048</v>
      </c>
      <c r="I1109" s="14" t="s">
        <v>1325</v>
      </c>
      <c r="J1109" t="s">
        <v>25</v>
      </c>
      <c r="K1109" t="s">
        <v>26</v>
      </c>
      <c r="L1109" s="12" t="s">
        <v>185</v>
      </c>
    </row>
    <row r="1110" spans="1:12" x14ac:dyDescent="0.35">
      <c r="A1110" t="s">
        <v>1326</v>
      </c>
      <c r="B1110" s="10">
        <v>611</v>
      </c>
      <c r="C1110" s="10">
        <v>300</v>
      </c>
      <c r="D1110" s="10">
        <v>3</v>
      </c>
      <c r="E1110" s="11" t="s">
        <v>45</v>
      </c>
      <c r="F1110" s="11" t="s">
        <v>109</v>
      </c>
      <c r="G1110" t="s">
        <v>47</v>
      </c>
      <c r="H1110" s="13">
        <v>44119</v>
      </c>
      <c r="I1110" s="14" t="s">
        <v>1327</v>
      </c>
      <c r="J1110" t="s">
        <v>21</v>
      </c>
      <c r="K1110" t="s">
        <v>172</v>
      </c>
      <c r="L1110" s="12" t="s">
        <v>119</v>
      </c>
    </row>
    <row r="1111" spans="1:12" x14ac:dyDescent="0.35">
      <c r="A1111" t="s">
        <v>1328</v>
      </c>
      <c r="B1111" s="10">
        <v>9909</v>
      </c>
      <c r="C1111" s="10">
        <v>2999</v>
      </c>
      <c r="D1111" s="10">
        <v>18</v>
      </c>
      <c r="E1111" s="11" t="s">
        <v>30</v>
      </c>
      <c r="F1111" s="11" t="s">
        <v>57</v>
      </c>
      <c r="G1111" t="s">
        <v>65</v>
      </c>
      <c r="H1111" s="13">
        <v>44331</v>
      </c>
      <c r="I1111" s="14" t="s">
        <v>1329</v>
      </c>
      <c r="J1111" t="s">
        <v>98</v>
      </c>
      <c r="K1111" t="s">
        <v>117</v>
      </c>
      <c r="L1111" s="12" t="s">
        <v>108</v>
      </c>
    </row>
    <row r="1112" spans="1:12" x14ac:dyDescent="0.35">
      <c r="A1112" t="s">
        <v>1328</v>
      </c>
      <c r="B1112" s="10">
        <v>9909</v>
      </c>
      <c r="C1112" s="10">
        <v>2999</v>
      </c>
      <c r="D1112" s="10">
        <v>18</v>
      </c>
      <c r="E1112" s="11" t="s">
        <v>30</v>
      </c>
      <c r="F1112" s="11" t="s">
        <v>57</v>
      </c>
      <c r="G1112" t="s">
        <v>65</v>
      </c>
      <c r="H1112" s="13">
        <v>44574</v>
      </c>
      <c r="I1112" s="14" t="s">
        <v>1330</v>
      </c>
      <c r="J1112" t="s">
        <v>71</v>
      </c>
      <c r="K1112" t="s">
        <v>86</v>
      </c>
      <c r="L1112" s="12" t="s">
        <v>87</v>
      </c>
    </row>
    <row r="1113" spans="1:12" x14ac:dyDescent="0.35">
      <c r="A1113" t="s">
        <v>1331</v>
      </c>
      <c r="B1113" s="10">
        <v>6485</v>
      </c>
      <c r="C1113" s="10">
        <v>3178</v>
      </c>
      <c r="D1113" s="10">
        <v>18</v>
      </c>
      <c r="E1113" s="11" t="s">
        <v>45</v>
      </c>
      <c r="F1113" s="11" t="s">
        <v>60</v>
      </c>
      <c r="G1113" t="s">
        <v>15</v>
      </c>
      <c r="H1113" s="13">
        <v>45125</v>
      </c>
      <c r="I1113" s="14" t="s">
        <v>1332</v>
      </c>
      <c r="J1113" t="s">
        <v>98</v>
      </c>
      <c r="K1113" t="s">
        <v>99</v>
      </c>
      <c r="L1113" s="12" t="s">
        <v>105</v>
      </c>
    </row>
    <row r="1114" spans="1:12" x14ac:dyDescent="0.35">
      <c r="A1114" t="s">
        <v>1333</v>
      </c>
      <c r="B1114" s="10">
        <v>7259</v>
      </c>
      <c r="C1114" s="10">
        <v>1969</v>
      </c>
      <c r="D1114" s="10">
        <v>10</v>
      </c>
      <c r="E1114" s="11" t="s">
        <v>13</v>
      </c>
      <c r="F1114" s="11" t="s">
        <v>39</v>
      </c>
      <c r="G1114" t="s">
        <v>47</v>
      </c>
      <c r="H1114" s="13">
        <v>44903</v>
      </c>
      <c r="I1114" s="14" t="s">
        <v>1334</v>
      </c>
      <c r="J1114" t="s">
        <v>21</v>
      </c>
      <c r="K1114" t="s">
        <v>63</v>
      </c>
      <c r="L1114" s="12" t="s">
        <v>152</v>
      </c>
    </row>
    <row r="1115" spans="1:12" x14ac:dyDescent="0.35">
      <c r="A1115" t="s">
        <v>1335</v>
      </c>
      <c r="B1115" s="10">
        <v>3333</v>
      </c>
      <c r="C1115" s="10">
        <v>700</v>
      </c>
      <c r="D1115" s="10">
        <v>18</v>
      </c>
      <c r="E1115" s="11" t="s">
        <v>13</v>
      </c>
      <c r="F1115" s="11" t="s">
        <v>28</v>
      </c>
      <c r="G1115" t="s">
        <v>65</v>
      </c>
      <c r="H1115" s="13">
        <v>45033</v>
      </c>
      <c r="I1115" s="14" t="s">
        <v>1336</v>
      </c>
      <c r="J1115" t="s">
        <v>17</v>
      </c>
      <c r="K1115" t="s">
        <v>18</v>
      </c>
      <c r="L1115" s="12" t="s">
        <v>145</v>
      </c>
    </row>
    <row r="1116" spans="1:12" x14ac:dyDescent="0.35">
      <c r="A1116" t="s">
        <v>1337</v>
      </c>
      <c r="B1116" s="10">
        <v>7786</v>
      </c>
      <c r="C1116" s="10">
        <v>1202</v>
      </c>
      <c r="D1116" s="10">
        <v>4</v>
      </c>
      <c r="E1116" s="11" t="s">
        <v>45</v>
      </c>
      <c r="F1116" s="11" t="s">
        <v>60</v>
      </c>
      <c r="G1116" t="s">
        <v>40</v>
      </c>
      <c r="H1116" s="13">
        <v>44005</v>
      </c>
      <c r="I1116" s="14" t="s">
        <v>1338</v>
      </c>
      <c r="J1116" t="s">
        <v>21</v>
      </c>
      <c r="K1116" t="s">
        <v>172</v>
      </c>
      <c r="L1116" s="12" t="s">
        <v>313</v>
      </c>
    </row>
    <row r="1117" spans="1:12" x14ac:dyDescent="0.35">
      <c r="A1117" t="s">
        <v>1339</v>
      </c>
      <c r="B1117" s="10">
        <v>7644</v>
      </c>
      <c r="C1117" s="10">
        <v>2428</v>
      </c>
      <c r="D1117" s="10">
        <v>6</v>
      </c>
      <c r="E1117" s="11" t="s">
        <v>13</v>
      </c>
      <c r="F1117" s="11" t="s">
        <v>82</v>
      </c>
      <c r="G1117" t="s">
        <v>32</v>
      </c>
      <c r="H1117" s="13">
        <v>44581</v>
      </c>
      <c r="I1117" s="14" t="s">
        <v>1340</v>
      </c>
      <c r="J1117" t="s">
        <v>21</v>
      </c>
      <c r="K1117" t="s">
        <v>63</v>
      </c>
      <c r="L1117" s="12" t="s">
        <v>87</v>
      </c>
    </row>
    <row r="1118" spans="1:12" x14ac:dyDescent="0.35">
      <c r="A1118" t="s">
        <v>1341</v>
      </c>
      <c r="B1118" s="10">
        <v>1476</v>
      </c>
      <c r="C1118" s="10">
        <v>247</v>
      </c>
      <c r="D1118" s="10">
        <v>5</v>
      </c>
      <c r="E1118" s="11" t="s">
        <v>45</v>
      </c>
      <c r="F1118" s="11" t="s">
        <v>109</v>
      </c>
      <c r="G1118" t="s">
        <v>65</v>
      </c>
      <c r="H1118" s="13">
        <v>45248</v>
      </c>
      <c r="I1118" s="14" t="s">
        <v>1342</v>
      </c>
      <c r="J1118" t="s">
        <v>42</v>
      </c>
      <c r="K1118" t="s">
        <v>43</v>
      </c>
      <c r="L1118" s="12" t="s">
        <v>52</v>
      </c>
    </row>
    <row r="1119" spans="1:12" x14ac:dyDescent="0.35">
      <c r="A1119" t="s">
        <v>1341</v>
      </c>
      <c r="B1119" s="10">
        <v>1476</v>
      </c>
      <c r="C1119" s="10">
        <v>247</v>
      </c>
      <c r="D1119" s="10">
        <v>5</v>
      </c>
      <c r="E1119" s="11" t="s">
        <v>45</v>
      </c>
      <c r="F1119" s="11" t="s">
        <v>109</v>
      </c>
      <c r="G1119" t="s">
        <v>65</v>
      </c>
      <c r="H1119" s="13">
        <v>44580</v>
      </c>
      <c r="I1119" s="14" t="s">
        <v>1343</v>
      </c>
      <c r="J1119" t="s">
        <v>42</v>
      </c>
      <c r="K1119" t="s">
        <v>75</v>
      </c>
      <c r="L1119" s="12" t="s">
        <v>87</v>
      </c>
    </row>
    <row r="1120" spans="1:12" x14ac:dyDescent="0.35">
      <c r="A1120" t="s">
        <v>1344</v>
      </c>
      <c r="B1120" s="10">
        <v>3445</v>
      </c>
      <c r="C1120" s="10">
        <v>1405</v>
      </c>
      <c r="D1120" s="10">
        <v>16</v>
      </c>
      <c r="E1120" s="11" t="s">
        <v>45</v>
      </c>
      <c r="F1120" s="11" t="s">
        <v>60</v>
      </c>
      <c r="G1120" t="s">
        <v>40</v>
      </c>
      <c r="H1120" s="13">
        <v>44095</v>
      </c>
      <c r="I1120" s="14" t="s">
        <v>1345</v>
      </c>
      <c r="J1120" t="s">
        <v>42</v>
      </c>
      <c r="K1120" t="s">
        <v>92</v>
      </c>
      <c r="L1120" s="12" t="s">
        <v>389</v>
      </c>
    </row>
    <row r="1121" spans="1:12" x14ac:dyDescent="0.35">
      <c r="A1121" t="s">
        <v>1344</v>
      </c>
      <c r="B1121" s="10">
        <v>9837</v>
      </c>
      <c r="C1121" s="10">
        <v>384</v>
      </c>
      <c r="D1121" s="10">
        <v>1</v>
      </c>
      <c r="E1121" s="11" t="s">
        <v>13</v>
      </c>
      <c r="F1121" s="11" t="s">
        <v>39</v>
      </c>
      <c r="G1121" t="s">
        <v>15</v>
      </c>
      <c r="H1121" s="13">
        <v>44095</v>
      </c>
      <c r="I1121" s="14" t="s">
        <v>1345</v>
      </c>
      <c r="J1121" t="s">
        <v>42</v>
      </c>
      <c r="K1121" t="s">
        <v>92</v>
      </c>
      <c r="L1121" s="12" t="s">
        <v>389</v>
      </c>
    </row>
    <row r="1122" spans="1:12" x14ac:dyDescent="0.35">
      <c r="A1122" t="s">
        <v>1346</v>
      </c>
      <c r="B1122" s="10">
        <v>1314</v>
      </c>
      <c r="C1122" s="10">
        <v>457</v>
      </c>
      <c r="D1122" s="10">
        <v>8</v>
      </c>
      <c r="E1122" s="11" t="s">
        <v>45</v>
      </c>
      <c r="F1122" s="11" t="s">
        <v>60</v>
      </c>
      <c r="G1122" t="s">
        <v>40</v>
      </c>
      <c r="H1122" s="13">
        <v>44358</v>
      </c>
      <c r="I1122" s="14" t="s">
        <v>1347</v>
      </c>
      <c r="J1122" t="s">
        <v>42</v>
      </c>
      <c r="K1122" t="s">
        <v>75</v>
      </c>
      <c r="L1122" s="12" t="s">
        <v>125</v>
      </c>
    </row>
    <row r="1123" spans="1:12" x14ac:dyDescent="0.35">
      <c r="A1123" t="s">
        <v>1348</v>
      </c>
      <c r="B1123" s="10">
        <v>5951</v>
      </c>
      <c r="C1123" s="10">
        <v>936</v>
      </c>
      <c r="D1123" s="10">
        <v>6</v>
      </c>
      <c r="E1123" s="11" t="s">
        <v>13</v>
      </c>
      <c r="F1123" s="11" t="s">
        <v>39</v>
      </c>
      <c r="G1123" t="s">
        <v>32</v>
      </c>
      <c r="H1123" s="13">
        <v>45511</v>
      </c>
      <c r="I1123" s="14" t="s">
        <v>1349</v>
      </c>
      <c r="J1123" t="s">
        <v>71</v>
      </c>
      <c r="K1123" t="s">
        <v>72</v>
      </c>
      <c r="L1123" s="12" t="s">
        <v>114</v>
      </c>
    </row>
    <row r="1124" spans="1:12" x14ac:dyDescent="0.35">
      <c r="A1124" t="s">
        <v>1348</v>
      </c>
      <c r="B1124" s="10">
        <v>5951</v>
      </c>
      <c r="C1124" s="10">
        <v>936</v>
      </c>
      <c r="D1124" s="10">
        <v>6</v>
      </c>
      <c r="E1124" s="11" t="s">
        <v>13</v>
      </c>
      <c r="F1124" s="11" t="s">
        <v>39</v>
      </c>
      <c r="G1124" t="s">
        <v>32</v>
      </c>
      <c r="H1124" s="13">
        <v>44768</v>
      </c>
      <c r="I1124" s="14" t="s">
        <v>1350</v>
      </c>
      <c r="J1124" t="s">
        <v>98</v>
      </c>
      <c r="K1124" t="s">
        <v>99</v>
      </c>
      <c r="L1124" s="12" t="s">
        <v>418</v>
      </c>
    </row>
    <row r="1125" spans="1:12" x14ac:dyDescent="0.35">
      <c r="A1125" t="s">
        <v>1351</v>
      </c>
      <c r="B1125" s="10">
        <v>992</v>
      </c>
      <c r="C1125" s="10">
        <v>177</v>
      </c>
      <c r="D1125" s="10">
        <v>6</v>
      </c>
      <c r="E1125" s="11" t="s">
        <v>13</v>
      </c>
      <c r="F1125" s="11" t="s">
        <v>82</v>
      </c>
      <c r="G1125" t="s">
        <v>15</v>
      </c>
      <c r="H1125" s="13">
        <v>45304</v>
      </c>
      <c r="I1125" s="14" t="s">
        <v>1352</v>
      </c>
      <c r="J1125" t="s">
        <v>42</v>
      </c>
      <c r="K1125" t="s">
        <v>43</v>
      </c>
      <c r="L1125" s="12" t="s">
        <v>76</v>
      </c>
    </row>
    <row r="1126" spans="1:12" x14ac:dyDescent="0.35">
      <c r="A1126" t="s">
        <v>1351</v>
      </c>
      <c r="B1126" s="10">
        <v>4699</v>
      </c>
      <c r="C1126" s="10">
        <v>625</v>
      </c>
      <c r="D1126" s="10">
        <v>18</v>
      </c>
      <c r="E1126" s="11" t="s">
        <v>30</v>
      </c>
      <c r="F1126" s="11" t="s">
        <v>57</v>
      </c>
      <c r="G1126" t="s">
        <v>40</v>
      </c>
      <c r="H1126" s="13">
        <v>45304</v>
      </c>
      <c r="I1126" s="14" t="s">
        <v>1352</v>
      </c>
      <c r="J1126" t="s">
        <v>42</v>
      </c>
      <c r="K1126" t="s">
        <v>43</v>
      </c>
      <c r="L1126" s="12" t="s">
        <v>76</v>
      </c>
    </row>
    <row r="1127" spans="1:12" x14ac:dyDescent="0.35">
      <c r="A1127" t="s">
        <v>1353</v>
      </c>
      <c r="B1127" s="10">
        <v>5557</v>
      </c>
      <c r="C1127" s="10">
        <v>2114</v>
      </c>
      <c r="D1127" s="10">
        <v>17</v>
      </c>
      <c r="E1127" s="11" t="s">
        <v>13</v>
      </c>
      <c r="F1127" s="11" t="s">
        <v>39</v>
      </c>
      <c r="G1127" t="s">
        <v>40</v>
      </c>
      <c r="H1127" s="13">
        <v>44344</v>
      </c>
      <c r="I1127" s="14" t="s">
        <v>1354</v>
      </c>
      <c r="J1127" t="s">
        <v>98</v>
      </c>
      <c r="K1127" t="s">
        <v>117</v>
      </c>
      <c r="L1127" s="12" t="s">
        <v>108</v>
      </c>
    </row>
    <row r="1128" spans="1:12" x14ac:dyDescent="0.35">
      <c r="A1128" t="s">
        <v>1355</v>
      </c>
      <c r="B1128" s="10">
        <v>3436</v>
      </c>
      <c r="C1128" s="10">
        <v>933</v>
      </c>
      <c r="D1128" s="10">
        <v>3</v>
      </c>
      <c r="E1128" s="11" t="s">
        <v>13</v>
      </c>
      <c r="F1128" s="11" t="s">
        <v>14</v>
      </c>
      <c r="G1128" t="s">
        <v>47</v>
      </c>
      <c r="H1128" s="13">
        <v>44360</v>
      </c>
      <c r="I1128" s="14" t="s">
        <v>1356</v>
      </c>
      <c r="J1128" t="s">
        <v>71</v>
      </c>
      <c r="K1128" t="s">
        <v>72</v>
      </c>
      <c r="L1128" s="12" t="s">
        <v>125</v>
      </c>
    </row>
    <row r="1129" spans="1:12" x14ac:dyDescent="0.35">
      <c r="A1129" t="s">
        <v>1357</v>
      </c>
      <c r="B1129" s="10">
        <v>9840</v>
      </c>
      <c r="C1129" s="10">
        <v>3870</v>
      </c>
      <c r="D1129" s="10">
        <v>11</v>
      </c>
      <c r="E1129" s="11" t="s">
        <v>13</v>
      </c>
      <c r="F1129" s="11" t="s">
        <v>28</v>
      </c>
      <c r="G1129" t="s">
        <v>32</v>
      </c>
      <c r="H1129" s="13">
        <v>45041</v>
      </c>
      <c r="I1129" s="14" t="s">
        <v>1358</v>
      </c>
      <c r="J1129" t="s">
        <v>71</v>
      </c>
      <c r="K1129" t="s">
        <v>86</v>
      </c>
      <c r="L1129" s="12" t="s">
        <v>145</v>
      </c>
    </row>
    <row r="1130" spans="1:12" x14ac:dyDescent="0.35">
      <c r="A1130" t="s">
        <v>1359</v>
      </c>
      <c r="B1130" s="10">
        <v>7620</v>
      </c>
      <c r="C1130" s="10">
        <v>125</v>
      </c>
      <c r="D1130" s="10">
        <v>4</v>
      </c>
      <c r="E1130" s="11" t="s">
        <v>30</v>
      </c>
      <c r="F1130" s="11" t="s">
        <v>64</v>
      </c>
      <c r="G1130" t="s">
        <v>40</v>
      </c>
      <c r="H1130" s="13">
        <v>44382</v>
      </c>
      <c r="I1130" s="14" t="s">
        <v>1360</v>
      </c>
      <c r="J1130" t="s">
        <v>42</v>
      </c>
      <c r="K1130" t="s">
        <v>92</v>
      </c>
      <c r="L1130" s="12" t="s">
        <v>27</v>
      </c>
    </row>
    <row r="1131" spans="1:12" x14ac:dyDescent="0.35">
      <c r="A1131" t="s">
        <v>1359</v>
      </c>
      <c r="B1131" s="10">
        <v>7620</v>
      </c>
      <c r="C1131" s="10">
        <v>125</v>
      </c>
      <c r="D1131" s="10">
        <v>4</v>
      </c>
      <c r="E1131" s="11" t="s">
        <v>30</v>
      </c>
      <c r="F1131" s="11" t="s">
        <v>64</v>
      </c>
      <c r="G1131" t="s">
        <v>40</v>
      </c>
      <c r="H1131" s="13">
        <v>45577</v>
      </c>
      <c r="I1131" s="14" t="s">
        <v>1361</v>
      </c>
      <c r="J1131" t="s">
        <v>42</v>
      </c>
      <c r="K1131" t="s">
        <v>92</v>
      </c>
      <c r="L1131" s="12" t="s">
        <v>360</v>
      </c>
    </row>
    <row r="1132" spans="1:12" x14ac:dyDescent="0.35">
      <c r="A1132" t="s">
        <v>1362</v>
      </c>
      <c r="B1132" s="10">
        <v>4314</v>
      </c>
      <c r="C1132" s="10">
        <v>1591</v>
      </c>
      <c r="D1132" s="10">
        <v>5</v>
      </c>
      <c r="E1132" s="11" t="s">
        <v>45</v>
      </c>
      <c r="F1132" s="11" t="s">
        <v>46</v>
      </c>
      <c r="G1132" t="s">
        <v>32</v>
      </c>
      <c r="H1132" s="13">
        <v>44473</v>
      </c>
      <c r="I1132" s="14" t="s">
        <v>1363</v>
      </c>
      <c r="J1132" t="s">
        <v>25</v>
      </c>
      <c r="K1132" t="s">
        <v>26</v>
      </c>
      <c r="L1132" s="12" t="s">
        <v>37</v>
      </c>
    </row>
    <row r="1133" spans="1:12" x14ac:dyDescent="0.35">
      <c r="A1133" t="s">
        <v>1364</v>
      </c>
      <c r="B1133" s="10">
        <v>8851</v>
      </c>
      <c r="C1133" s="10">
        <v>999</v>
      </c>
      <c r="D1133" s="10">
        <v>12</v>
      </c>
      <c r="E1133" s="11" t="s">
        <v>13</v>
      </c>
      <c r="F1133" s="11" t="s">
        <v>39</v>
      </c>
      <c r="G1133" t="s">
        <v>15</v>
      </c>
      <c r="H1133" s="13">
        <v>45329</v>
      </c>
      <c r="I1133" s="14" t="s">
        <v>1365</v>
      </c>
      <c r="J1133" t="s">
        <v>98</v>
      </c>
      <c r="K1133" t="s">
        <v>107</v>
      </c>
      <c r="L1133" s="12" t="s">
        <v>218</v>
      </c>
    </row>
    <row r="1134" spans="1:12" x14ac:dyDescent="0.35">
      <c r="A1134" t="s">
        <v>1366</v>
      </c>
      <c r="B1134" s="10">
        <v>544</v>
      </c>
      <c r="C1134" s="10">
        <v>272</v>
      </c>
      <c r="D1134" s="10">
        <v>2</v>
      </c>
      <c r="E1134" s="11" t="s">
        <v>13</v>
      </c>
      <c r="F1134" s="11" t="s">
        <v>39</v>
      </c>
      <c r="G1134" t="s">
        <v>32</v>
      </c>
      <c r="H1134" s="13">
        <v>44260</v>
      </c>
      <c r="I1134" s="14" t="s">
        <v>1367</v>
      </c>
      <c r="J1134" t="s">
        <v>71</v>
      </c>
      <c r="K1134" t="s">
        <v>138</v>
      </c>
      <c r="L1134" s="12" t="s">
        <v>167</v>
      </c>
    </row>
    <row r="1135" spans="1:12" x14ac:dyDescent="0.35">
      <c r="A1135" t="s">
        <v>1366</v>
      </c>
      <c r="B1135" s="10">
        <v>544</v>
      </c>
      <c r="C1135" s="10">
        <v>272</v>
      </c>
      <c r="D1135" s="10">
        <v>2</v>
      </c>
      <c r="E1135" s="11" t="s">
        <v>13</v>
      </c>
      <c r="F1135" s="11" t="s">
        <v>39</v>
      </c>
      <c r="G1135" t="s">
        <v>32</v>
      </c>
      <c r="H1135" s="13">
        <v>45102</v>
      </c>
      <c r="I1135" s="14" t="s">
        <v>1368</v>
      </c>
      <c r="J1135" t="s">
        <v>25</v>
      </c>
      <c r="K1135" t="s">
        <v>26</v>
      </c>
      <c r="L1135" s="12" t="s">
        <v>19</v>
      </c>
    </row>
    <row r="1136" spans="1:12" x14ac:dyDescent="0.35">
      <c r="A1136" t="s">
        <v>1369</v>
      </c>
      <c r="B1136" s="10">
        <v>537</v>
      </c>
      <c r="C1136" s="10">
        <v>142</v>
      </c>
      <c r="D1136" s="10">
        <v>20</v>
      </c>
      <c r="E1136" s="11" t="s">
        <v>30</v>
      </c>
      <c r="F1136" s="11" t="s">
        <v>57</v>
      </c>
      <c r="G1136" t="s">
        <v>40</v>
      </c>
      <c r="H1136" s="13">
        <v>44410</v>
      </c>
      <c r="I1136" s="14" t="s">
        <v>1370</v>
      </c>
      <c r="J1136" t="s">
        <v>21</v>
      </c>
      <c r="K1136" t="s">
        <v>172</v>
      </c>
      <c r="L1136" s="12" t="s">
        <v>178</v>
      </c>
    </row>
    <row r="1137" spans="1:12" x14ac:dyDescent="0.35">
      <c r="A1137" t="s">
        <v>1371</v>
      </c>
      <c r="B1137" s="10">
        <v>5944</v>
      </c>
      <c r="C1137" s="10">
        <v>2661</v>
      </c>
      <c r="D1137" s="10">
        <v>7</v>
      </c>
      <c r="E1137" s="11" t="s">
        <v>13</v>
      </c>
      <c r="F1137" s="11" t="s">
        <v>39</v>
      </c>
      <c r="G1137" t="s">
        <v>40</v>
      </c>
      <c r="H1137" s="13">
        <v>44637</v>
      </c>
      <c r="I1137" s="14" t="s">
        <v>1372</v>
      </c>
      <c r="J1137" t="s">
        <v>71</v>
      </c>
      <c r="K1137" t="s">
        <v>86</v>
      </c>
      <c r="L1137" s="12" t="s">
        <v>134</v>
      </c>
    </row>
    <row r="1138" spans="1:12" x14ac:dyDescent="0.35">
      <c r="A1138" t="s">
        <v>1373</v>
      </c>
      <c r="B1138" s="10">
        <v>2258</v>
      </c>
      <c r="C1138" s="10">
        <v>135</v>
      </c>
      <c r="D1138" s="10">
        <v>18</v>
      </c>
      <c r="E1138" s="11" t="s">
        <v>13</v>
      </c>
      <c r="F1138" s="11" t="s">
        <v>28</v>
      </c>
      <c r="G1138" t="s">
        <v>47</v>
      </c>
      <c r="H1138" s="13">
        <v>45329</v>
      </c>
      <c r="I1138" s="14" t="s">
        <v>1374</v>
      </c>
      <c r="J1138" t="s">
        <v>17</v>
      </c>
      <c r="K1138" t="s">
        <v>18</v>
      </c>
      <c r="L1138" s="12" t="s">
        <v>218</v>
      </c>
    </row>
    <row r="1139" spans="1:12" x14ac:dyDescent="0.35">
      <c r="A1139" t="s">
        <v>1373</v>
      </c>
      <c r="B1139" s="10">
        <v>2258</v>
      </c>
      <c r="C1139" s="10">
        <v>135</v>
      </c>
      <c r="D1139" s="10">
        <v>18</v>
      </c>
      <c r="E1139" s="11" t="s">
        <v>13</v>
      </c>
      <c r="F1139" s="11" t="s">
        <v>28</v>
      </c>
      <c r="G1139" t="s">
        <v>47</v>
      </c>
      <c r="H1139" s="13">
        <v>44792</v>
      </c>
      <c r="I1139" s="14" t="s">
        <v>1375</v>
      </c>
      <c r="J1139" t="s">
        <v>42</v>
      </c>
      <c r="K1139" t="s">
        <v>75</v>
      </c>
      <c r="L1139" s="12" t="s">
        <v>209</v>
      </c>
    </row>
    <row r="1140" spans="1:12" x14ac:dyDescent="0.35">
      <c r="A1140" t="s">
        <v>1376</v>
      </c>
      <c r="B1140" s="10">
        <v>9609</v>
      </c>
      <c r="C1140" s="10">
        <v>4339</v>
      </c>
      <c r="D1140" s="10">
        <v>3</v>
      </c>
      <c r="E1140" s="11" t="s">
        <v>45</v>
      </c>
      <c r="F1140" s="11" t="s">
        <v>60</v>
      </c>
      <c r="G1140" t="s">
        <v>32</v>
      </c>
      <c r="H1140" s="13">
        <v>45554</v>
      </c>
      <c r="I1140" s="14" t="s">
        <v>1377</v>
      </c>
      <c r="J1140" t="s">
        <v>71</v>
      </c>
      <c r="K1140" t="s">
        <v>138</v>
      </c>
      <c r="L1140" s="12" t="s">
        <v>159</v>
      </c>
    </row>
    <row r="1141" spans="1:12" x14ac:dyDescent="0.35">
      <c r="A1141" t="s">
        <v>1376</v>
      </c>
      <c r="B1141" s="10">
        <v>9609</v>
      </c>
      <c r="C1141" s="10">
        <v>4339</v>
      </c>
      <c r="D1141" s="10">
        <v>3</v>
      </c>
      <c r="E1141" s="11" t="s">
        <v>45</v>
      </c>
      <c r="F1141" s="11" t="s">
        <v>60</v>
      </c>
      <c r="G1141" t="s">
        <v>32</v>
      </c>
      <c r="H1141" s="13">
        <v>43926</v>
      </c>
      <c r="I1141" s="14" t="s">
        <v>1378</v>
      </c>
      <c r="J1141" t="s">
        <v>98</v>
      </c>
      <c r="K1141" t="s">
        <v>107</v>
      </c>
      <c r="L1141" s="12" t="s">
        <v>162</v>
      </c>
    </row>
    <row r="1142" spans="1:12" x14ac:dyDescent="0.35">
      <c r="A1142" t="s">
        <v>1379</v>
      </c>
      <c r="B1142" s="10">
        <v>9952</v>
      </c>
      <c r="C1142" s="10">
        <v>3301</v>
      </c>
      <c r="D1142" s="10">
        <v>15</v>
      </c>
      <c r="E1142" s="11" t="s">
        <v>13</v>
      </c>
      <c r="F1142" s="11" t="s">
        <v>14</v>
      </c>
      <c r="G1142" t="s">
        <v>32</v>
      </c>
      <c r="H1142" s="13">
        <v>44995</v>
      </c>
      <c r="I1142" s="14" t="s">
        <v>1380</v>
      </c>
      <c r="J1142" t="s">
        <v>71</v>
      </c>
      <c r="K1142" t="s">
        <v>72</v>
      </c>
      <c r="L1142" s="12" t="s">
        <v>245</v>
      </c>
    </row>
    <row r="1143" spans="1:12" x14ac:dyDescent="0.35">
      <c r="A1143" t="s">
        <v>1381</v>
      </c>
      <c r="B1143" s="10">
        <v>9873</v>
      </c>
      <c r="C1143" s="10">
        <v>4585</v>
      </c>
      <c r="D1143" s="10">
        <v>7</v>
      </c>
      <c r="E1143" s="11" t="s">
        <v>30</v>
      </c>
      <c r="F1143" s="11" t="s">
        <v>64</v>
      </c>
      <c r="G1143" t="s">
        <v>47</v>
      </c>
      <c r="H1143" s="13">
        <v>44053</v>
      </c>
      <c r="I1143" s="14" t="s">
        <v>1382</v>
      </c>
      <c r="J1143" t="s">
        <v>98</v>
      </c>
      <c r="K1143" t="s">
        <v>99</v>
      </c>
      <c r="L1143" s="12" t="s">
        <v>185</v>
      </c>
    </row>
    <row r="1144" spans="1:12" x14ac:dyDescent="0.35">
      <c r="A1144" t="s">
        <v>1383</v>
      </c>
      <c r="B1144" s="10">
        <v>3560</v>
      </c>
      <c r="C1144" s="10">
        <v>1335</v>
      </c>
      <c r="D1144" s="10">
        <v>15</v>
      </c>
      <c r="E1144" s="11" t="s">
        <v>13</v>
      </c>
      <c r="F1144" s="11" t="s">
        <v>14</v>
      </c>
      <c r="G1144" t="s">
        <v>65</v>
      </c>
      <c r="H1144" s="13">
        <v>43950</v>
      </c>
      <c r="I1144" s="14" t="s">
        <v>1384</v>
      </c>
      <c r="J1144" t="s">
        <v>25</v>
      </c>
      <c r="K1144" t="s">
        <v>51</v>
      </c>
      <c r="L1144" s="12" t="s">
        <v>162</v>
      </c>
    </row>
    <row r="1145" spans="1:12" x14ac:dyDescent="0.35">
      <c r="A1145" t="s">
        <v>1383</v>
      </c>
      <c r="B1145" s="10">
        <v>3560</v>
      </c>
      <c r="C1145" s="10">
        <v>1335</v>
      </c>
      <c r="D1145" s="10">
        <v>15</v>
      </c>
      <c r="E1145" s="11" t="s">
        <v>13</v>
      </c>
      <c r="F1145" s="11" t="s">
        <v>14</v>
      </c>
      <c r="G1145" t="s">
        <v>65</v>
      </c>
      <c r="H1145" s="13">
        <v>45001</v>
      </c>
      <c r="I1145" s="14" t="s">
        <v>1385</v>
      </c>
      <c r="J1145" t="s">
        <v>21</v>
      </c>
      <c r="K1145" t="s">
        <v>63</v>
      </c>
      <c r="L1145" s="12" t="s">
        <v>245</v>
      </c>
    </row>
    <row r="1146" spans="1:12" x14ac:dyDescent="0.35">
      <c r="A1146" t="s">
        <v>1386</v>
      </c>
      <c r="B1146" s="10">
        <v>6528</v>
      </c>
      <c r="C1146" s="10">
        <v>76</v>
      </c>
      <c r="D1146" s="10">
        <v>9</v>
      </c>
      <c r="E1146" s="11" t="s">
        <v>13</v>
      </c>
      <c r="F1146" s="11" t="s">
        <v>82</v>
      </c>
      <c r="G1146" t="s">
        <v>32</v>
      </c>
      <c r="H1146" s="13">
        <v>43955</v>
      </c>
      <c r="I1146" s="14" t="s">
        <v>1387</v>
      </c>
      <c r="J1146" t="s">
        <v>25</v>
      </c>
      <c r="K1146" t="s">
        <v>26</v>
      </c>
      <c r="L1146" s="12" t="s">
        <v>59</v>
      </c>
    </row>
    <row r="1147" spans="1:12" x14ac:dyDescent="0.35">
      <c r="A1147" t="s">
        <v>1386</v>
      </c>
      <c r="B1147" s="10">
        <v>8930</v>
      </c>
      <c r="C1147" s="10">
        <v>3374</v>
      </c>
      <c r="D1147" s="10">
        <v>12</v>
      </c>
      <c r="E1147" s="11" t="s">
        <v>45</v>
      </c>
      <c r="F1147" s="11" t="s">
        <v>60</v>
      </c>
      <c r="G1147" t="s">
        <v>32</v>
      </c>
      <c r="H1147" s="13">
        <v>43955</v>
      </c>
      <c r="I1147" s="14" t="s">
        <v>1387</v>
      </c>
      <c r="J1147" t="s">
        <v>25</v>
      </c>
      <c r="K1147" t="s">
        <v>26</v>
      </c>
      <c r="L1147" s="12" t="s">
        <v>59</v>
      </c>
    </row>
    <row r="1148" spans="1:12" x14ac:dyDescent="0.35">
      <c r="A1148" t="s">
        <v>1388</v>
      </c>
      <c r="B1148" s="10">
        <v>4521</v>
      </c>
      <c r="C1148" s="10">
        <v>1778</v>
      </c>
      <c r="D1148" s="10">
        <v>9</v>
      </c>
      <c r="E1148" s="11" t="s">
        <v>30</v>
      </c>
      <c r="F1148" s="11" t="s">
        <v>64</v>
      </c>
      <c r="G1148" t="s">
        <v>32</v>
      </c>
      <c r="H1148" s="13">
        <v>45580</v>
      </c>
      <c r="I1148" s="14" t="s">
        <v>1389</v>
      </c>
      <c r="J1148" t="s">
        <v>17</v>
      </c>
      <c r="K1148" t="s">
        <v>150</v>
      </c>
      <c r="L1148" s="12" t="s">
        <v>360</v>
      </c>
    </row>
    <row r="1149" spans="1:12" x14ac:dyDescent="0.35">
      <c r="A1149" t="s">
        <v>1390</v>
      </c>
      <c r="B1149" s="10">
        <v>7091</v>
      </c>
      <c r="C1149" s="10">
        <v>2317</v>
      </c>
      <c r="D1149" s="10">
        <v>10</v>
      </c>
      <c r="E1149" s="11" t="s">
        <v>45</v>
      </c>
      <c r="F1149" s="11" t="s">
        <v>60</v>
      </c>
      <c r="G1149" t="s">
        <v>47</v>
      </c>
      <c r="H1149" s="13">
        <v>44721</v>
      </c>
      <c r="I1149" s="14" t="s">
        <v>1391</v>
      </c>
      <c r="J1149" t="s">
        <v>42</v>
      </c>
      <c r="K1149" t="s">
        <v>75</v>
      </c>
      <c r="L1149" s="12" t="s">
        <v>165</v>
      </c>
    </row>
    <row r="1150" spans="1:12" x14ac:dyDescent="0.35">
      <c r="A1150" t="s">
        <v>1392</v>
      </c>
      <c r="B1150" s="10">
        <v>2101</v>
      </c>
      <c r="C1150" s="10">
        <v>287</v>
      </c>
      <c r="D1150" s="10">
        <v>8</v>
      </c>
      <c r="E1150" s="11" t="s">
        <v>30</v>
      </c>
      <c r="F1150" s="11" t="s">
        <v>31</v>
      </c>
      <c r="G1150" t="s">
        <v>65</v>
      </c>
      <c r="H1150" s="13">
        <v>44016</v>
      </c>
      <c r="I1150" s="14" t="s">
        <v>703</v>
      </c>
      <c r="J1150" t="s">
        <v>98</v>
      </c>
      <c r="K1150" t="s">
        <v>117</v>
      </c>
      <c r="L1150" s="12" t="s">
        <v>462</v>
      </c>
    </row>
    <row r="1151" spans="1:12" x14ac:dyDescent="0.35">
      <c r="A1151" t="s">
        <v>1392</v>
      </c>
      <c r="B1151" s="10">
        <v>2101</v>
      </c>
      <c r="C1151" s="10">
        <v>287</v>
      </c>
      <c r="D1151" s="10">
        <v>8</v>
      </c>
      <c r="E1151" s="11" t="s">
        <v>30</v>
      </c>
      <c r="F1151" s="11" t="s">
        <v>31</v>
      </c>
      <c r="G1151" t="s">
        <v>65</v>
      </c>
      <c r="H1151" s="13">
        <v>45025</v>
      </c>
      <c r="I1151" s="14" t="s">
        <v>1393</v>
      </c>
      <c r="J1151" t="s">
        <v>21</v>
      </c>
      <c r="K1151" t="s">
        <v>22</v>
      </c>
      <c r="L1151" s="12" t="s">
        <v>145</v>
      </c>
    </row>
    <row r="1152" spans="1:12" x14ac:dyDescent="0.35">
      <c r="A1152" t="s">
        <v>1394</v>
      </c>
      <c r="B1152" s="10">
        <v>8644</v>
      </c>
      <c r="C1152" s="10">
        <v>1968</v>
      </c>
      <c r="D1152" s="10">
        <v>9</v>
      </c>
      <c r="E1152" s="11" t="s">
        <v>30</v>
      </c>
      <c r="F1152" s="11" t="s">
        <v>64</v>
      </c>
      <c r="G1152" t="s">
        <v>32</v>
      </c>
      <c r="H1152" s="13">
        <v>45254</v>
      </c>
      <c r="I1152" s="14" t="s">
        <v>1395</v>
      </c>
      <c r="J1152" t="s">
        <v>21</v>
      </c>
      <c r="K1152" t="s">
        <v>22</v>
      </c>
      <c r="L1152" s="12" t="s">
        <v>52</v>
      </c>
    </row>
    <row r="1153" spans="1:12" x14ac:dyDescent="0.35">
      <c r="A1153" t="s">
        <v>1396</v>
      </c>
      <c r="B1153" s="10">
        <v>6672</v>
      </c>
      <c r="C1153" s="10">
        <v>3319</v>
      </c>
      <c r="D1153" s="10">
        <v>4</v>
      </c>
      <c r="E1153" s="11" t="s">
        <v>45</v>
      </c>
      <c r="F1153" s="11" t="s">
        <v>46</v>
      </c>
      <c r="G1153" t="s">
        <v>15</v>
      </c>
      <c r="H1153" s="13">
        <v>45259</v>
      </c>
      <c r="I1153" s="14" t="s">
        <v>1397</v>
      </c>
      <c r="J1153" t="s">
        <v>71</v>
      </c>
      <c r="K1153" t="s">
        <v>72</v>
      </c>
      <c r="L1153" s="12" t="s">
        <v>52</v>
      </c>
    </row>
    <row r="1154" spans="1:12" x14ac:dyDescent="0.35">
      <c r="A1154" t="s">
        <v>1396</v>
      </c>
      <c r="B1154" s="10">
        <v>6672</v>
      </c>
      <c r="C1154" s="10">
        <v>3319</v>
      </c>
      <c r="D1154" s="10">
        <v>4</v>
      </c>
      <c r="E1154" s="11" t="s">
        <v>45</v>
      </c>
      <c r="F1154" s="11" t="s">
        <v>46</v>
      </c>
      <c r="G1154" t="s">
        <v>15</v>
      </c>
      <c r="H1154" s="13">
        <v>45432</v>
      </c>
      <c r="I1154" s="14" t="s">
        <v>1398</v>
      </c>
      <c r="J1154" t="s">
        <v>42</v>
      </c>
      <c r="K1154" t="s">
        <v>75</v>
      </c>
      <c r="L1154" s="12" t="s">
        <v>35</v>
      </c>
    </row>
    <row r="1155" spans="1:12" x14ac:dyDescent="0.35">
      <c r="A1155" t="s">
        <v>1399</v>
      </c>
      <c r="B1155" s="10">
        <v>4699</v>
      </c>
      <c r="C1155" s="10">
        <v>103</v>
      </c>
      <c r="D1155" s="10">
        <v>12</v>
      </c>
      <c r="E1155" s="11" t="s">
        <v>30</v>
      </c>
      <c r="F1155" s="11" t="s">
        <v>78</v>
      </c>
      <c r="G1155" t="s">
        <v>15</v>
      </c>
      <c r="H1155" s="13">
        <v>45433</v>
      </c>
      <c r="I1155" s="14" t="s">
        <v>1400</v>
      </c>
      <c r="J1155" t="s">
        <v>98</v>
      </c>
      <c r="K1155" t="s">
        <v>107</v>
      </c>
      <c r="L1155" s="12" t="s">
        <v>35</v>
      </c>
    </row>
    <row r="1156" spans="1:12" x14ac:dyDescent="0.35">
      <c r="A1156" t="s">
        <v>1401</v>
      </c>
      <c r="B1156" s="10">
        <v>4897</v>
      </c>
      <c r="C1156" s="10">
        <v>1001</v>
      </c>
      <c r="D1156" s="10">
        <v>14</v>
      </c>
      <c r="E1156" s="11" t="s">
        <v>45</v>
      </c>
      <c r="F1156" s="11" t="s">
        <v>60</v>
      </c>
      <c r="G1156" t="s">
        <v>32</v>
      </c>
      <c r="H1156" s="13">
        <v>44537</v>
      </c>
      <c r="I1156" s="14" t="s">
        <v>1402</v>
      </c>
      <c r="J1156" t="s">
        <v>71</v>
      </c>
      <c r="K1156" t="s">
        <v>138</v>
      </c>
      <c r="L1156" s="12" t="s">
        <v>90</v>
      </c>
    </row>
    <row r="1157" spans="1:12" x14ac:dyDescent="0.35">
      <c r="A1157" t="s">
        <v>1401</v>
      </c>
      <c r="B1157" s="10">
        <v>4897</v>
      </c>
      <c r="C1157" s="10">
        <v>1001</v>
      </c>
      <c r="D1157" s="10">
        <v>14</v>
      </c>
      <c r="E1157" s="11" t="s">
        <v>45</v>
      </c>
      <c r="F1157" s="11" t="s">
        <v>60</v>
      </c>
      <c r="G1157" t="s">
        <v>32</v>
      </c>
      <c r="H1157" s="13">
        <v>45663</v>
      </c>
      <c r="I1157" s="14" t="s">
        <v>1403</v>
      </c>
      <c r="J1157" t="s">
        <v>98</v>
      </c>
      <c r="K1157" t="s">
        <v>107</v>
      </c>
      <c r="L1157" s="12" t="s">
        <v>308</v>
      </c>
    </row>
    <row r="1158" spans="1:12" x14ac:dyDescent="0.35">
      <c r="A1158" t="s">
        <v>1404</v>
      </c>
      <c r="B1158" s="10">
        <v>5460</v>
      </c>
      <c r="C1158" s="10">
        <v>2088</v>
      </c>
      <c r="D1158" s="10">
        <v>14</v>
      </c>
      <c r="E1158" s="11" t="s">
        <v>45</v>
      </c>
      <c r="F1158" s="11" t="s">
        <v>46</v>
      </c>
      <c r="G1158" t="s">
        <v>32</v>
      </c>
      <c r="H1158" s="13">
        <v>44755</v>
      </c>
      <c r="I1158" s="14" t="s">
        <v>1405</v>
      </c>
      <c r="J1158" t="s">
        <v>25</v>
      </c>
      <c r="K1158" t="s">
        <v>26</v>
      </c>
      <c r="L1158" s="12" t="s">
        <v>418</v>
      </c>
    </row>
    <row r="1159" spans="1:12" x14ac:dyDescent="0.35">
      <c r="A1159" t="s">
        <v>1404</v>
      </c>
      <c r="B1159" s="10">
        <v>5460</v>
      </c>
      <c r="C1159" s="10">
        <v>2088</v>
      </c>
      <c r="D1159" s="10">
        <v>14</v>
      </c>
      <c r="E1159" s="11" t="s">
        <v>45</v>
      </c>
      <c r="F1159" s="11" t="s">
        <v>46</v>
      </c>
      <c r="G1159" t="s">
        <v>32</v>
      </c>
      <c r="H1159" s="13">
        <v>43940</v>
      </c>
      <c r="I1159" s="14" t="s">
        <v>1406</v>
      </c>
      <c r="J1159" t="s">
        <v>98</v>
      </c>
      <c r="K1159" t="s">
        <v>107</v>
      </c>
      <c r="L1159" s="12" t="s">
        <v>162</v>
      </c>
    </row>
    <row r="1160" spans="1:12" x14ac:dyDescent="0.35">
      <c r="A1160" t="s">
        <v>1407</v>
      </c>
      <c r="B1160" s="10">
        <v>9272</v>
      </c>
      <c r="C1160" s="10">
        <v>1771</v>
      </c>
      <c r="D1160" s="10">
        <v>19</v>
      </c>
      <c r="E1160" s="11" t="s">
        <v>30</v>
      </c>
      <c r="F1160" s="11" t="s">
        <v>57</v>
      </c>
      <c r="G1160" t="s">
        <v>15</v>
      </c>
      <c r="H1160" s="13">
        <v>45610</v>
      </c>
      <c r="I1160" s="14" t="s">
        <v>1408</v>
      </c>
      <c r="J1160" t="s">
        <v>21</v>
      </c>
      <c r="K1160" t="s">
        <v>63</v>
      </c>
      <c r="L1160" s="12" t="s">
        <v>255</v>
      </c>
    </row>
    <row r="1161" spans="1:12" x14ac:dyDescent="0.35">
      <c r="A1161" t="s">
        <v>1407</v>
      </c>
      <c r="B1161" s="10">
        <v>9272</v>
      </c>
      <c r="C1161" s="10">
        <v>1771</v>
      </c>
      <c r="D1161" s="10">
        <v>19</v>
      </c>
      <c r="E1161" s="11" t="s">
        <v>30</v>
      </c>
      <c r="F1161" s="11" t="s">
        <v>57</v>
      </c>
      <c r="G1161" t="s">
        <v>15</v>
      </c>
      <c r="H1161" s="13">
        <v>43939</v>
      </c>
      <c r="I1161" s="14" t="s">
        <v>1409</v>
      </c>
      <c r="J1161" t="s">
        <v>71</v>
      </c>
      <c r="K1161" t="s">
        <v>72</v>
      </c>
      <c r="L1161" s="12" t="s">
        <v>162</v>
      </c>
    </row>
    <row r="1162" spans="1:12" x14ac:dyDescent="0.35">
      <c r="A1162" t="s">
        <v>1410</v>
      </c>
      <c r="B1162" s="10">
        <v>7870</v>
      </c>
      <c r="C1162" s="10">
        <v>1057</v>
      </c>
      <c r="D1162" s="10">
        <v>15</v>
      </c>
      <c r="E1162" s="11" t="s">
        <v>30</v>
      </c>
      <c r="F1162" s="11" t="s">
        <v>31</v>
      </c>
      <c r="G1162" t="s">
        <v>47</v>
      </c>
      <c r="H1162" s="13">
        <v>45217</v>
      </c>
      <c r="I1162" s="14" t="s">
        <v>1411</v>
      </c>
      <c r="J1162" t="s">
        <v>71</v>
      </c>
      <c r="K1162" t="s">
        <v>138</v>
      </c>
      <c r="L1162" s="12" t="s">
        <v>442</v>
      </c>
    </row>
    <row r="1163" spans="1:12" x14ac:dyDescent="0.35">
      <c r="A1163" t="s">
        <v>1410</v>
      </c>
      <c r="B1163" s="10">
        <v>7870</v>
      </c>
      <c r="C1163" s="10">
        <v>1057</v>
      </c>
      <c r="D1163" s="10">
        <v>15</v>
      </c>
      <c r="E1163" s="11" t="s">
        <v>30</v>
      </c>
      <c r="F1163" s="11" t="s">
        <v>31</v>
      </c>
      <c r="G1163" t="s">
        <v>47</v>
      </c>
      <c r="H1163" s="13">
        <v>44276</v>
      </c>
      <c r="I1163" s="14" t="s">
        <v>1412</v>
      </c>
      <c r="J1163" t="s">
        <v>98</v>
      </c>
      <c r="K1163" t="s">
        <v>117</v>
      </c>
      <c r="L1163" s="12" t="s">
        <v>167</v>
      </c>
    </row>
    <row r="1164" spans="1:12" x14ac:dyDescent="0.35">
      <c r="A1164" t="s">
        <v>1413</v>
      </c>
      <c r="B1164" s="10">
        <v>7992</v>
      </c>
      <c r="C1164" s="10">
        <v>893</v>
      </c>
      <c r="D1164" s="10">
        <v>12</v>
      </c>
      <c r="E1164" s="11" t="s">
        <v>13</v>
      </c>
      <c r="F1164" s="11" t="s">
        <v>39</v>
      </c>
      <c r="G1164" t="s">
        <v>47</v>
      </c>
      <c r="H1164" s="13">
        <v>45548</v>
      </c>
      <c r="I1164" s="14" t="s">
        <v>1414</v>
      </c>
      <c r="J1164" t="s">
        <v>98</v>
      </c>
      <c r="K1164" t="s">
        <v>117</v>
      </c>
      <c r="L1164" s="12" t="s">
        <v>159</v>
      </c>
    </row>
    <row r="1165" spans="1:12" x14ac:dyDescent="0.35">
      <c r="A1165" t="s">
        <v>1413</v>
      </c>
      <c r="B1165" s="10">
        <v>7992</v>
      </c>
      <c r="C1165" s="10">
        <v>893</v>
      </c>
      <c r="D1165" s="10">
        <v>12</v>
      </c>
      <c r="E1165" s="11" t="s">
        <v>13</v>
      </c>
      <c r="F1165" s="11" t="s">
        <v>39</v>
      </c>
      <c r="G1165" t="s">
        <v>47</v>
      </c>
      <c r="H1165" s="13">
        <v>45050</v>
      </c>
      <c r="I1165" s="14" t="s">
        <v>1415</v>
      </c>
      <c r="J1165" t="s">
        <v>25</v>
      </c>
      <c r="K1165" t="s">
        <v>51</v>
      </c>
      <c r="L1165" s="12" t="s">
        <v>127</v>
      </c>
    </row>
    <row r="1166" spans="1:12" x14ac:dyDescent="0.35">
      <c r="A1166" t="s">
        <v>1413</v>
      </c>
      <c r="B1166" s="10">
        <v>7992</v>
      </c>
      <c r="C1166" s="10">
        <v>893</v>
      </c>
      <c r="D1166" s="10">
        <v>12</v>
      </c>
      <c r="E1166" s="11" t="s">
        <v>13</v>
      </c>
      <c r="F1166" s="11" t="s">
        <v>39</v>
      </c>
      <c r="G1166" t="s">
        <v>47</v>
      </c>
      <c r="H1166" s="13">
        <v>45077</v>
      </c>
      <c r="I1166" s="14" t="s">
        <v>1416</v>
      </c>
      <c r="J1166" t="s">
        <v>21</v>
      </c>
      <c r="K1166" t="s">
        <v>22</v>
      </c>
      <c r="L1166" s="12" t="s">
        <v>127</v>
      </c>
    </row>
    <row r="1167" spans="1:12" x14ac:dyDescent="0.35">
      <c r="A1167" t="s">
        <v>1417</v>
      </c>
      <c r="B1167" s="10">
        <v>6499</v>
      </c>
      <c r="C1167" s="10">
        <v>2189</v>
      </c>
      <c r="D1167" s="10">
        <v>18</v>
      </c>
      <c r="E1167" s="11" t="s">
        <v>13</v>
      </c>
      <c r="F1167" s="11" t="s">
        <v>14</v>
      </c>
      <c r="G1167" t="s">
        <v>40</v>
      </c>
      <c r="H1167" s="13">
        <v>45458</v>
      </c>
      <c r="I1167" s="14" t="s">
        <v>1418</v>
      </c>
      <c r="J1167" t="s">
        <v>25</v>
      </c>
      <c r="K1167" t="s">
        <v>51</v>
      </c>
      <c r="L1167" s="12" t="s">
        <v>262</v>
      </c>
    </row>
    <row r="1168" spans="1:12" x14ac:dyDescent="0.35">
      <c r="A1168" t="s">
        <v>1417</v>
      </c>
      <c r="B1168" s="10">
        <v>6499</v>
      </c>
      <c r="C1168" s="10">
        <v>2189</v>
      </c>
      <c r="D1168" s="10">
        <v>18</v>
      </c>
      <c r="E1168" s="11" t="s">
        <v>13</v>
      </c>
      <c r="F1168" s="11" t="s">
        <v>14</v>
      </c>
      <c r="G1168" t="s">
        <v>40</v>
      </c>
      <c r="H1168" s="13">
        <v>44289</v>
      </c>
      <c r="I1168" s="14" t="s">
        <v>1419</v>
      </c>
      <c r="J1168" t="s">
        <v>17</v>
      </c>
      <c r="K1168" t="s">
        <v>34</v>
      </c>
      <c r="L1168" s="12" t="s">
        <v>139</v>
      </c>
    </row>
    <row r="1169" spans="1:12" x14ac:dyDescent="0.35">
      <c r="A1169" t="s">
        <v>1420</v>
      </c>
      <c r="B1169" s="10">
        <v>8848</v>
      </c>
      <c r="C1169" s="10">
        <v>2090</v>
      </c>
      <c r="D1169" s="10">
        <v>9</v>
      </c>
      <c r="E1169" s="11" t="s">
        <v>30</v>
      </c>
      <c r="F1169" s="11" t="s">
        <v>31</v>
      </c>
      <c r="G1169" t="s">
        <v>32</v>
      </c>
      <c r="H1169" s="13">
        <v>45671</v>
      </c>
      <c r="I1169" s="14" t="s">
        <v>1421</v>
      </c>
      <c r="J1169" t="s">
        <v>42</v>
      </c>
      <c r="K1169" t="s">
        <v>75</v>
      </c>
      <c r="L1169" s="12" t="s">
        <v>308</v>
      </c>
    </row>
    <row r="1170" spans="1:12" x14ac:dyDescent="0.35">
      <c r="A1170" t="s">
        <v>1422</v>
      </c>
      <c r="B1170" s="10">
        <v>8044</v>
      </c>
      <c r="C1170" s="10">
        <v>3634</v>
      </c>
      <c r="D1170" s="10">
        <v>3</v>
      </c>
      <c r="E1170" s="11" t="s">
        <v>30</v>
      </c>
      <c r="F1170" s="11" t="s">
        <v>57</v>
      </c>
      <c r="G1170" t="s">
        <v>65</v>
      </c>
      <c r="H1170" s="13">
        <v>44189</v>
      </c>
      <c r="I1170" s="14" t="s">
        <v>1423</v>
      </c>
      <c r="J1170" t="s">
        <v>17</v>
      </c>
      <c r="K1170" t="s">
        <v>34</v>
      </c>
      <c r="L1170" s="12" t="s">
        <v>287</v>
      </c>
    </row>
    <row r="1171" spans="1:12" x14ac:dyDescent="0.35">
      <c r="A1171" t="s">
        <v>1422</v>
      </c>
      <c r="B1171" s="10">
        <v>8044</v>
      </c>
      <c r="C1171" s="10">
        <v>3634</v>
      </c>
      <c r="D1171" s="10">
        <v>3</v>
      </c>
      <c r="E1171" s="11" t="s">
        <v>30</v>
      </c>
      <c r="F1171" s="11" t="s">
        <v>57</v>
      </c>
      <c r="G1171" t="s">
        <v>65</v>
      </c>
      <c r="H1171" s="13">
        <v>44841</v>
      </c>
      <c r="I1171" s="14" t="s">
        <v>1424</v>
      </c>
      <c r="J1171" t="s">
        <v>42</v>
      </c>
      <c r="K1171" t="s">
        <v>75</v>
      </c>
      <c r="L1171" s="12" t="s">
        <v>96</v>
      </c>
    </row>
    <row r="1172" spans="1:12" x14ac:dyDescent="0.35">
      <c r="A1172" t="s">
        <v>1425</v>
      </c>
      <c r="B1172" s="10">
        <v>7417</v>
      </c>
      <c r="C1172" s="10">
        <v>1334</v>
      </c>
      <c r="D1172" s="10">
        <v>16</v>
      </c>
      <c r="E1172" s="11" t="s">
        <v>45</v>
      </c>
      <c r="F1172" s="11" t="s">
        <v>109</v>
      </c>
      <c r="G1172" t="s">
        <v>65</v>
      </c>
      <c r="H1172" s="13">
        <v>44474</v>
      </c>
      <c r="I1172" s="14" t="s">
        <v>1426</v>
      </c>
      <c r="J1172" t="s">
        <v>17</v>
      </c>
      <c r="K1172" t="s">
        <v>150</v>
      </c>
      <c r="L1172" s="12" t="s">
        <v>37</v>
      </c>
    </row>
    <row r="1173" spans="1:12" x14ac:dyDescent="0.35">
      <c r="A1173" t="s">
        <v>1427</v>
      </c>
      <c r="B1173" s="10">
        <v>3451</v>
      </c>
      <c r="C1173" s="10">
        <v>658</v>
      </c>
      <c r="D1173" s="10">
        <v>3</v>
      </c>
      <c r="E1173" s="11" t="s">
        <v>30</v>
      </c>
      <c r="F1173" s="11" t="s">
        <v>57</v>
      </c>
      <c r="G1173" t="s">
        <v>15</v>
      </c>
      <c r="H1173" s="13">
        <v>45654</v>
      </c>
      <c r="I1173" s="14" t="s">
        <v>1428</v>
      </c>
      <c r="J1173" t="s">
        <v>21</v>
      </c>
      <c r="K1173" t="s">
        <v>22</v>
      </c>
      <c r="L1173" s="12" t="s">
        <v>23</v>
      </c>
    </row>
    <row r="1174" spans="1:12" x14ac:dyDescent="0.35">
      <c r="A1174" t="s">
        <v>1429</v>
      </c>
      <c r="B1174" s="10">
        <v>8531</v>
      </c>
      <c r="C1174" s="10">
        <v>2555</v>
      </c>
      <c r="D1174" s="10">
        <v>4</v>
      </c>
      <c r="E1174" s="11" t="s">
        <v>13</v>
      </c>
      <c r="F1174" s="11" t="s">
        <v>39</v>
      </c>
      <c r="G1174" t="s">
        <v>40</v>
      </c>
      <c r="H1174" s="13">
        <v>44695</v>
      </c>
      <c r="I1174" s="14" t="s">
        <v>1430</v>
      </c>
      <c r="J1174" t="s">
        <v>71</v>
      </c>
      <c r="K1174" t="s">
        <v>86</v>
      </c>
      <c r="L1174" s="12" t="s">
        <v>180</v>
      </c>
    </row>
    <row r="1175" spans="1:12" x14ac:dyDescent="0.35">
      <c r="A1175" t="s">
        <v>1431</v>
      </c>
      <c r="B1175" s="10">
        <v>6646</v>
      </c>
      <c r="C1175" s="10">
        <v>848</v>
      </c>
      <c r="D1175" s="10">
        <v>15</v>
      </c>
      <c r="E1175" s="11" t="s">
        <v>45</v>
      </c>
      <c r="F1175" s="11" t="s">
        <v>60</v>
      </c>
      <c r="G1175" t="s">
        <v>32</v>
      </c>
      <c r="H1175" s="13">
        <v>45157</v>
      </c>
      <c r="I1175" s="14" t="s">
        <v>1432</v>
      </c>
      <c r="J1175" t="s">
        <v>25</v>
      </c>
      <c r="K1175" t="s">
        <v>51</v>
      </c>
      <c r="L1175" s="12" t="s">
        <v>121</v>
      </c>
    </row>
    <row r="1176" spans="1:12" x14ac:dyDescent="0.35">
      <c r="A1176" t="s">
        <v>1431</v>
      </c>
      <c r="B1176" s="10">
        <v>6646</v>
      </c>
      <c r="C1176" s="10">
        <v>848</v>
      </c>
      <c r="D1176" s="10">
        <v>15</v>
      </c>
      <c r="E1176" s="11" t="s">
        <v>45</v>
      </c>
      <c r="F1176" s="11" t="s">
        <v>60</v>
      </c>
      <c r="G1176" t="s">
        <v>32</v>
      </c>
      <c r="H1176" s="13">
        <v>45121</v>
      </c>
      <c r="I1176" s="14" t="s">
        <v>1433</v>
      </c>
      <c r="J1176" t="s">
        <v>25</v>
      </c>
      <c r="K1176" t="s">
        <v>26</v>
      </c>
      <c r="L1176" s="12" t="s">
        <v>105</v>
      </c>
    </row>
    <row r="1177" spans="1:12" x14ac:dyDescent="0.35">
      <c r="A1177" t="s">
        <v>1434</v>
      </c>
      <c r="B1177" s="10">
        <v>2553</v>
      </c>
      <c r="C1177" s="10">
        <v>907</v>
      </c>
      <c r="D1177" s="10">
        <v>6</v>
      </c>
      <c r="E1177" s="11" t="s">
        <v>13</v>
      </c>
      <c r="F1177" s="11" t="s">
        <v>39</v>
      </c>
      <c r="G1177" t="s">
        <v>47</v>
      </c>
      <c r="H1177" s="13">
        <v>45099</v>
      </c>
      <c r="I1177" s="14" t="s">
        <v>1435</v>
      </c>
      <c r="J1177" t="s">
        <v>71</v>
      </c>
      <c r="K1177" t="s">
        <v>72</v>
      </c>
      <c r="L1177" s="12" t="s">
        <v>19</v>
      </c>
    </row>
    <row r="1178" spans="1:12" x14ac:dyDescent="0.35">
      <c r="A1178" t="s">
        <v>1436</v>
      </c>
      <c r="B1178" s="10">
        <v>8490</v>
      </c>
      <c r="C1178" s="10">
        <v>3485</v>
      </c>
      <c r="D1178" s="10">
        <v>3</v>
      </c>
      <c r="E1178" s="11" t="s">
        <v>13</v>
      </c>
      <c r="F1178" s="11" t="s">
        <v>82</v>
      </c>
      <c r="G1178" t="s">
        <v>47</v>
      </c>
      <c r="H1178" s="13">
        <v>45006</v>
      </c>
      <c r="I1178" s="14" t="s">
        <v>1437</v>
      </c>
      <c r="J1178" t="s">
        <v>25</v>
      </c>
      <c r="K1178" t="s">
        <v>51</v>
      </c>
      <c r="L1178" s="12" t="s">
        <v>245</v>
      </c>
    </row>
    <row r="1179" spans="1:12" x14ac:dyDescent="0.35">
      <c r="A1179" t="s">
        <v>1438</v>
      </c>
      <c r="B1179" s="10">
        <v>2689</v>
      </c>
      <c r="C1179" s="10">
        <v>1330</v>
      </c>
      <c r="D1179" s="10">
        <v>3</v>
      </c>
      <c r="E1179" s="11" t="s">
        <v>45</v>
      </c>
      <c r="F1179" s="11" t="s">
        <v>46</v>
      </c>
      <c r="G1179" t="s">
        <v>15</v>
      </c>
      <c r="H1179" s="13">
        <v>44178</v>
      </c>
      <c r="I1179" s="14" t="s">
        <v>1439</v>
      </c>
      <c r="J1179" t="s">
        <v>42</v>
      </c>
      <c r="K1179" t="s">
        <v>43</v>
      </c>
      <c r="L1179" s="12" t="s">
        <v>287</v>
      </c>
    </row>
    <row r="1180" spans="1:12" x14ac:dyDescent="0.35">
      <c r="A1180" t="s">
        <v>1438</v>
      </c>
      <c r="B1180" s="10">
        <v>2689</v>
      </c>
      <c r="C1180" s="10">
        <v>1330</v>
      </c>
      <c r="D1180" s="10">
        <v>3</v>
      </c>
      <c r="E1180" s="11" t="s">
        <v>45</v>
      </c>
      <c r="F1180" s="11" t="s">
        <v>46</v>
      </c>
      <c r="G1180" t="s">
        <v>15</v>
      </c>
      <c r="H1180" s="13">
        <v>45441</v>
      </c>
      <c r="I1180" s="14" t="s">
        <v>1440</v>
      </c>
      <c r="J1180" t="s">
        <v>17</v>
      </c>
      <c r="K1180" t="s">
        <v>18</v>
      </c>
      <c r="L1180" s="12" t="s">
        <v>35</v>
      </c>
    </row>
    <row r="1181" spans="1:12" x14ac:dyDescent="0.35">
      <c r="A1181" t="s">
        <v>1441</v>
      </c>
      <c r="B1181" s="10">
        <v>815</v>
      </c>
      <c r="C1181" s="10">
        <v>54</v>
      </c>
      <c r="D1181" s="10">
        <v>14</v>
      </c>
      <c r="E1181" s="11" t="s">
        <v>45</v>
      </c>
      <c r="F1181" s="11" t="s">
        <v>46</v>
      </c>
      <c r="G1181" t="s">
        <v>32</v>
      </c>
      <c r="H1181" s="13">
        <v>44341</v>
      </c>
      <c r="I1181" s="14" t="s">
        <v>1442</v>
      </c>
      <c r="J1181" t="s">
        <v>42</v>
      </c>
      <c r="K1181" t="s">
        <v>92</v>
      </c>
      <c r="L1181" s="12" t="s">
        <v>108</v>
      </c>
    </row>
    <row r="1182" spans="1:12" x14ac:dyDescent="0.35">
      <c r="A1182" t="s">
        <v>1443</v>
      </c>
      <c r="B1182" s="10">
        <v>5024</v>
      </c>
      <c r="C1182" s="10">
        <v>379</v>
      </c>
      <c r="D1182" s="10">
        <v>2</v>
      </c>
      <c r="E1182" s="11" t="s">
        <v>30</v>
      </c>
      <c r="F1182" s="11" t="s">
        <v>64</v>
      </c>
      <c r="G1182" t="s">
        <v>15</v>
      </c>
      <c r="H1182" s="13">
        <v>45384</v>
      </c>
      <c r="I1182" s="14" t="s">
        <v>1444</v>
      </c>
      <c r="J1182" t="s">
        <v>71</v>
      </c>
      <c r="K1182" t="s">
        <v>72</v>
      </c>
      <c r="L1182" s="12" t="s">
        <v>235</v>
      </c>
    </row>
    <row r="1183" spans="1:12" x14ac:dyDescent="0.35">
      <c r="A1183" t="s">
        <v>1443</v>
      </c>
      <c r="B1183" s="10">
        <v>5024</v>
      </c>
      <c r="C1183" s="10">
        <v>379</v>
      </c>
      <c r="D1183" s="10">
        <v>2</v>
      </c>
      <c r="E1183" s="11" t="s">
        <v>30</v>
      </c>
      <c r="F1183" s="11" t="s">
        <v>64</v>
      </c>
      <c r="G1183" t="s">
        <v>15</v>
      </c>
      <c r="H1183" s="13">
        <v>44898</v>
      </c>
      <c r="I1183" s="14" t="s">
        <v>1445</v>
      </c>
      <c r="J1183" t="s">
        <v>21</v>
      </c>
      <c r="K1183" t="s">
        <v>172</v>
      </c>
      <c r="L1183" s="12" t="s">
        <v>152</v>
      </c>
    </row>
    <row r="1184" spans="1:12" x14ac:dyDescent="0.35">
      <c r="A1184" t="s">
        <v>1446</v>
      </c>
      <c r="B1184" s="10">
        <v>8962</v>
      </c>
      <c r="C1184" s="10">
        <v>2444</v>
      </c>
      <c r="D1184" s="10">
        <v>18</v>
      </c>
      <c r="E1184" s="11" t="s">
        <v>13</v>
      </c>
      <c r="F1184" s="11" t="s">
        <v>14</v>
      </c>
      <c r="G1184" t="s">
        <v>32</v>
      </c>
      <c r="H1184" s="13">
        <v>44389</v>
      </c>
      <c r="I1184" s="14" t="s">
        <v>1447</v>
      </c>
      <c r="J1184" t="s">
        <v>98</v>
      </c>
      <c r="K1184" t="s">
        <v>117</v>
      </c>
      <c r="L1184" s="12" t="s">
        <v>27</v>
      </c>
    </row>
    <row r="1185" spans="1:12" x14ac:dyDescent="0.35">
      <c r="A1185" t="s">
        <v>1446</v>
      </c>
      <c r="B1185" s="10">
        <v>8962</v>
      </c>
      <c r="C1185" s="10">
        <v>2444</v>
      </c>
      <c r="D1185" s="10">
        <v>18</v>
      </c>
      <c r="E1185" s="11" t="s">
        <v>13</v>
      </c>
      <c r="F1185" s="11" t="s">
        <v>14</v>
      </c>
      <c r="G1185" t="s">
        <v>32</v>
      </c>
      <c r="H1185" s="13">
        <v>43912</v>
      </c>
      <c r="I1185" s="14" t="s">
        <v>1448</v>
      </c>
      <c r="J1185" t="s">
        <v>21</v>
      </c>
      <c r="K1185" t="s">
        <v>172</v>
      </c>
      <c r="L1185" s="12" t="s">
        <v>55</v>
      </c>
    </row>
    <row r="1186" spans="1:12" x14ac:dyDescent="0.35">
      <c r="A1186" t="s">
        <v>1449</v>
      </c>
      <c r="B1186" s="10">
        <v>1961</v>
      </c>
      <c r="C1186" s="10">
        <v>59</v>
      </c>
      <c r="D1186" s="10">
        <v>12</v>
      </c>
      <c r="E1186" s="11" t="s">
        <v>30</v>
      </c>
      <c r="F1186" s="11" t="s">
        <v>78</v>
      </c>
      <c r="G1186" t="s">
        <v>15</v>
      </c>
      <c r="H1186" s="13">
        <v>44052</v>
      </c>
      <c r="I1186" s="14" t="s">
        <v>1450</v>
      </c>
      <c r="J1186" t="s">
        <v>17</v>
      </c>
      <c r="K1186" t="s">
        <v>34</v>
      </c>
      <c r="L1186" s="12" t="s">
        <v>185</v>
      </c>
    </row>
    <row r="1187" spans="1:12" x14ac:dyDescent="0.35">
      <c r="A1187" t="s">
        <v>1451</v>
      </c>
      <c r="B1187" s="10">
        <v>526</v>
      </c>
      <c r="C1187" s="10">
        <v>83</v>
      </c>
      <c r="D1187" s="10">
        <v>4</v>
      </c>
      <c r="E1187" s="11" t="s">
        <v>45</v>
      </c>
      <c r="F1187" s="11" t="s">
        <v>60</v>
      </c>
      <c r="G1187" t="s">
        <v>47</v>
      </c>
      <c r="H1187" s="13">
        <v>44610</v>
      </c>
      <c r="I1187" s="14" t="s">
        <v>1452</v>
      </c>
      <c r="J1187" t="s">
        <v>21</v>
      </c>
      <c r="K1187" t="s">
        <v>22</v>
      </c>
      <c r="L1187" s="12" t="s">
        <v>137</v>
      </c>
    </row>
    <row r="1188" spans="1:12" x14ac:dyDescent="0.35">
      <c r="A1188" t="s">
        <v>1453</v>
      </c>
      <c r="B1188" s="10">
        <v>6093</v>
      </c>
      <c r="C1188" s="10">
        <v>3042</v>
      </c>
      <c r="D1188" s="10">
        <v>9</v>
      </c>
      <c r="E1188" s="11" t="s">
        <v>45</v>
      </c>
      <c r="F1188" s="11" t="s">
        <v>109</v>
      </c>
      <c r="G1188" t="s">
        <v>32</v>
      </c>
      <c r="H1188" s="13">
        <v>44361</v>
      </c>
      <c r="I1188" s="14" t="s">
        <v>1454</v>
      </c>
      <c r="J1188" t="s">
        <v>42</v>
      </c>
      <c r="K1188" t="s">
        <v>92</v>
      </c>
      <c r="L1188" s="12" t="s">
        <v>125</v>
      </c>
    </row>
    <row r="1189" spans="1:12" x14ac:dyDescent="0.35">
      <c r="A1189" t="s">
        <v>1453</v>
      </c>
      <c r="B1189" s="10">
        <v>6093</v>
      </c>
      <c r="C1189" s="10">
        <v>3042</v>
      </c>
      <c r="D1189" s="10">
        <v>9</v>
      </c>
      <c r="E1189" s="11" t="s">
        <v>45</v>
      </c>
      <c r="F1189" s="11" t="s">
        <v>109</v>
      </c>
      <c r="G1189" t="s">
        <v>32</v>
      </c>
      <c r="H1189" s="13">
        <v>44256</v>
      </c>
      <c r="I1189" s="14" t="s">
        <v>1455</v>
      </c>
      <c r="J1189" t="s">
        <v>42</v>
      </c>
      <c r="K1189" t="s">
        <v>75</v>
      </c>
      <c r="L1189" s="12" t="s">
        <v>167</v>
      </c>
    </row>
    <row r="1190" spans="1:12" x14ac:dyDescent="0.35">
      <c r="A1190" t="s">
        <v>1456</v>
      </c>
      <c r="B1190" s="10">
        <v>7699</v>
      </c>
      <c r="C1190" s="10">
        <v>246</v>
      </c>
      <c r="D1190" s="10">
        <v>5</v>
      </c>
      <c r="E1190" s="11" t="s">
        <v>13</v>
      </c>
      <c r="F1190" s="11" t="s">
        <v>14</v>
      </c>
      <c r="G1190" t="s">
        <v>32</v>
      </c>
      <c r="H1190" s="13">
        <v>45192</v>
      </c>
      <c r="I1190" s="14" t="s">
        <v>1457</v>
      </c>
      <c r="J1190" t="s">
        <v>71</v>
      </c>
      <c r="K1190" t="s">
        <v>86</v>
      </c>
      <c r="L1190" s="12" t="s">
        <v>273</v>
      </c>
    </row>
    <row r="1191" spans="1:12" x14ac:dyDescent="0.35">
      <c r="A1191" t="s">
        <v>1458</v>
      </c>
      <c r="B1191" s="10">
        <v>8825</v>
      </c>
      <c r="C1191" s="10">
        <v>3594</v>
      </c>
      <c r="D1191" s="10">
        <v>15</v>
      </c>
      <c r="E1191" s="11" t="s">
        <v>45</v>
      </c>
      <c r="F1191" s="11" t="s">
        <v>46</v>
      </c>
      <c r="G1191" t="s">
        <v>32</v>
      </c>
      <c r="H1191" s="13">
        <v>45504</v>
      </c>
      <c r="I1191" s="14" t="s">
        <v>1459</v>
      </c>
      <c r="J1191" t="s">
        <v>25</v>
      </c>
      <c r="K1191" t="s">
        <v>51</v>
      </c>
      <c r="L1191" s="12" t="s">
        <v>215</v>
      </c>
    </row>
    <row r="1192" spans="1:12" x14ac:dyDescent="0.35">
      <c r="A1192" t="s">
        <v>1460</v>
      </c>
      <c r="B1192" s="10">
        <v>2082</v>
      </c>
      <c r="C1192" s="10">
        <v>642</v>
      </c>
      <c r="D1192" s="10">
        <v>8</v>
      </c>
      <c r="E1192" s="11" t="s">
        <v>13</v>
      </c>
      <c r="F1192" s="11" t="s">
        <v>82</v>
      </c>
      <c r="G1192" t="s">
        <v>40</v>
      </c>
      <c r="H1192" s="13">
        <v>43984</v>
      </c>
      <c r="I1192" s="14" t="s">
        <v>1461</v>
      </c>
      <c r="J1192" t="s">
        <v>25</v>
      </c>
      <c r="K1192" t="s">
        <v>68</v>
      </c>
      <c r="L1192" s="12" t="s">
        <v>313</v>
      </c>
    </row>
    <row r="1193" spans="1:12" x14ac:dyDescent="0.35">
      <c r="A1193" t="s">
        <v>1460</v>
      </c>
      <c r="B1193" s="10">
        <v>2082</v>
      </c>
      <c r="C1193" s="10">
        <v>642</v>
      </c>
      <c r="D1193" s="10">
        <v>8</v>
      </c>
      <c r="E1193" s="11" t="s">
        <v>13</v>
      </c>
      <c r="F1193" s="11" t="s">
        <v>82</v>
      </c>
      <c r="G1193" t="s">
        <v>40</v>
      </c>
      <c r="H1193" s="13">
        <v>44910</v>
      </c>
      <c r="I1193" s="14" t="s">
        <v>1462</v>
      </c>
      <c r="J1193" t="s">
        <v>71</v>
      </c>
      <c r="K1193" t="s">
        <v>86</v>
      </c>
      <c r="L1193" s="12" t="s">
        <v>152</v>
      </c>
    </row>
    <row r="1194" spans="1:12" x14ac:dyDescent="0.35">
      <c r="A1194" t="s">
        <v>1460</v>
      </c>
      <c r="B1194" s="10">
        <v>2082</v>
      </c>
      <c r="C1194" s="10">
        <v>642</v>
      </c>
      <c r="D1194" s="10">
        <v>8</v>
      </c>
      <c r="E1194" s="11" t="s">
        <v>13</v>
      </c>
      <c r="F1194" s="11" t="s">
        <v>82</v>
      </c>
      <c r="G1194" t="s">
        <v>40</v>
      </c>
      <c r="H1194" s="13">
        <v>44050</v>
      </c>
      <c r="I1194" s="14" t="s">
        <v>1463</v>
      </c>
      <c r="J1194" t="s">
        <v>25</v>
      </c>
      <c r="K1194" t="s">
        <v>26</v>
      </c>
      <c r="L1194" s="12" t="s">
        <v>185</v>
      </c>
    </row>
    <row r="1195" spans="1:12" x14ac:dyDescent="0.35">
      <c r="A1195" t="s">
        <v>1464</v>
      </c>
      <c r="B1195" s="10">
        <v>914</v>
      </c>
      <c r="C1195" s="10">
        <v>163</v>
      </c>
      <c r="D1195" s="10">
        <v>13</v>
      </c>
      <c r="E1195" s="11" t="s">
        <v>30</v>
      </c>
      <c r="F1195" s="11" t="s">
        <v>57</v>
      </c>
      <c r="G1195" t="s">
        <v>15</v>
      </c>
      <c r="H1195" s="13">
        <v>45591</v>
      </c>
      <c r="I1195" s="14" t="s">
        <v>1465</v>
      </c>
      <c r="J1195" t="s">
        <v>21</v>
      </c>
      <c r="K1195" t="s">
        <v>22</v>
      </c>
      <c r="L1195" s="12" t="s">
        <v>360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I41"/>
  <sheetViews>
    <sheetView workbookViewId="0">
      <selection activeCell="F27" sqref="F27:F33"/>
    </sheetView>
  </sheetViews>
  <sheetFormatPr defaultRowHeight="14.5" x14ac:dyDescent="0.35"/>
  <cols>
    <col min="1" max="1" width="12.36328125" bestFit="1" customWidth="1"/>
    <col min="2" max="2" width="15.81640625" bestFit="1" customWidth="1"/>
    <col min="3" max="3" width="11.81640625" bestFit="1" customWidth="1"/>
    <col min="5" max="5" width="13.6328125" bestFit="1" customWidth="1"/>
    <col min="6" max="6" width="15.26953125" bestFit="1" customWidth="1"/>
    <col min="7" max="7" width="13.1796875" bestFit="1" customWidth="1"/>
    <col min="8" max="8" width="17.81640625" bestFit="1" customWidth="1"/>
    <col min="9" max="9" width="15.81640625" bestFit="1" customWidth="1"/>
    <col min="13" max="13" width="8.7265625" customWidth="1"/>
  </cols>
  <sheetData>
    <row r="3" spans="1:9" x14ac:dyDescent="0.35">
      <c r="A3" s="1" t="s">
        <v>1466</v>
      </c>
      <c r="C3" s="1" t="s">
        <v>1467</v>
      </c>
      <c r="E3" s="2" t="s">
        <v>1468</v>
      </c>
      <c r="G3" s="2" t="s">
        <v>1469</v>
      </c>
    </row>
    <row r="4" spans="1:9" x14ac:dyDescent="0.35">
      <c r="A4" s="1">
        <v>1194</v>
      </c>
      <c r="C4" s="1">
        <v>12745</v>
      </c>
      <c r="E4" s="2">
        <v>6182639</v>
      </c>
      <c r="G4" s="2">
        <v>1610697</v>
      </c>
      <c r="I4" s="8"/>
    </row>
    <row r="8" spans="1:9" x14ac:dyDescent="0.35">
      <c r="A8" s="4" t="s">
        <v>1470</v>
      </c>
      <c r="B8" s="2" t="s">
        <v>1468</v>
      </c>
      <c r="C8" t="s">
        <v>1469</v>
      </c>
      <c r="E8" s="3" t="s">
        <v>1470</v>
      </c>
      <c r="F8" s="2" t="s">
        <v>1468</v>
      </c>
      <c r="H8" s="3" t="s">
        <v>1470</v>
      </c>
      <c r="I8" s="2" t="s">
        <v>1467</v>
      </c>
    </row>
    <row r="9" spans="1:9" x14ac:dyDescent="0.35">
      <c r="A9" s="5" t="s">
        <v>1482</v>
      </c>
      <c r="B9" s="2">
        <v>392678</v>
      </c>
      <c r="C9" s="2">
        <v>110381</v>
      </c>
      <c r="E9" s="6" t="s">
        <v>57</v>
      </c>
      <c r="F9" s="2">
        <v>627875</v>
      </c>
      <c r="H9" s="6" t="s">
        <v>117</v>
      </c>
      <c r="I9" s="1">
        <v>812</v>
      </c>
    </row>
    <row r="10" spans="1:9" x14ac:dyDescent="0.35">
      <c r="A10" s="5" t="s">
        <v>1483</v>
      </c>
      <c r="B10" s="2">
        <v>450672</v>
      </c>
      <c r="C10" s="2">
        <v>118941</v>
      </c>
      <c r="E10" s="6" t="s">
        <v>46</v>
      </c>
      <c r="F10" s="2">
        <v>625177</v>
      </c>
      <c r="H10" s="6" t="s">
        <v>34</v>
      </c>
      <c r="I10" s="1">
        <v>820</v>
      </c>
    </row>
    <row r="11" spans="1:9" x14ac:dyDescent="0.35">
      <c r="A11" s="5" t="s">
        <v>1472</v>
      </c>
      <c r="B11" s="2">
        <v>497247</v>
      </c>
      <c r="C11" s="2">
        <v>152739</v>
      </c>
      <c r="E11" s="6" t="s">
        <v>60</v>
      </c>
      <c r="F11" s="2">
        <v>568367</v>
      </c>
      <c r="H11" s="6" t="s">
        <v>68</v>
      </c>
      <c r="I11" s="1">
        <v>836</v>
      </c>
    </row>
    <row r="12" spans="1:9" x14ac:dyDescent="0.35">
      <c r="A12" s="5" t="s">
        <v>1473</v>
      </c>
      <c r="B12" s="2">
        <v>567882</v>
      </c>
      <c r="C12" s="2">
        <v>139373</v>
      </c>
      <c r="E12" s="6" t="s">
        <v>28</v>
      </c>
      <c r="F12" s="2">
        <v>566359</v>
      </c>
      <c r="H12" s="6" t="s">
        <v>92</v>
      </c>
      <c r="I12" s="1">
        <v>953</v>
      </c>
    </row>
    <row r="13" spans="1:9" x14ac:dyDescent="0.35">
      <c r="A13" s="5" t="s">
        <v>1474</v>
      </c>
      <c r="B13" s="2">
        <v>581943</v>
      </c>
      <c r="C13" s="2">
        <v>129629</v>
      </c>
      <c r="E13" s="6" t="s">
        <v>14</v>
      </c>
      <c r="F13" s="2">
        <v>565092</v>
      </c>
      <c r="H13" s="6" t="s">
        <v>26</v>
      </c>
      <c r="I13" s="1">
        <v>977</v>
      </c>
    </row>
    <row r="14" spans="1:9" x14ac:dyDescent="0.35">
      <c r="A14" s="5" t="s">
        <v>1475</v>
      </c>
      <c r="B14" s="2">
        <v>529028</v>
      </c>
      <c r="C14" s="2">
        <v>141845</v>
      </c>
      <c r="E14" s="6" t="s">
        <v>31</v>
      </c>
      <c r="F14" s="2">
        <v>552269</v>
      </c>
      <c r="H14" s="6" t="s">
        <v>1471</v>
      </c>
      <c r="I14" s="1">
        <v>4398</v>
      </c>
    </row>
    <row r="15" spans="1:9" x14ac:dyDescent="0.35">
      <c r="A15" s="5" t="s">
        <v>1476</v>
      </c>
      <c r="B15" s="2">
        <v>497410</v>
      </c>
      <c r="C15" s="2">
        <v>132117</v>
      </c>
      <c r="E15" s="6" t="s">
        <v>64</v>
      </c>
      <c r="F15" s="2">
        <v>524755</v>
      </c>
    </row>
    <row r="16" spans="1:9" x14ac:dyDescent="0.35">
      <c r="A16" s="5" t="s">
        <v>1477</v>
      </c>
      <c r="B16" s="2">
        <v>517830</v>
      </c>
      <c r="C16" s="2">
        <v>143289</v>
      </c>
      <c r="E16" s="6" t="s">
        <v>82</v>
      </c>
      <c r="F16" s="2">
        <v>503055</v>
      </c>
    </row>
    <row r="17" spans="1:9" x14ac:dyDescent="0.35">
      <c r="A17" s="5" t="s">
        <v>1478</v>
      </c>
      <c r="B17" s="2">
        <v>408236</v>
      </c>
      <c r="C17" s="2">
        <v>111244</v>
      </c>
      <c r="E17" s="6" t="s">
        <v>49</v>
      </c>
      <c r="F17" s="2">
        <v>431964</v>
      </c>
      <c r="H17" s="3" t="s">
        <v>1470</v>
      </c>
      <c r="I17" s="2" t="s">
        <v>1467</v>
      </c>
    </row>
    <row r="18" spans="1:9" x14ac:dyDescent="0.35">
      <c r="A18" s="5" t="s">
        <v>1479</v>
      </c>
      <c r="B18" s="2">
        <v>632521</v>
      </c>
      <c r="C18" s="2">
        <v>155154</v>
      </c>
      <c r="E18" s="6" t="s">
        <v>39</v>
      </c>
      <c r="F18" s="2">
        <v>419950</v>
      </c>
      <c r="H18" s="6" t="s">
        <v>370</v>
      </c>
      <c r="I18" s="1">
        <v>47</v>
      </c>
    </row>
    <row r="19" spans="1:9" x14ac:dyDescent="0.35">
      <c r="A19" s="5" t="s">
        <v>1480</v>
      </c>
      <c r="B19" s="2">
        <v>451814</v>
      </c>
      <c r="C19" s="2">
        <v>116169</v>
      </c>
      <c r="E19" s="6" t="s">
        <v>1471</v>
      </c>
      <c r="F19" s="2">
        <v>5384863</v>
      </c>
      <c r="H19" s="6" t="s">
        <v>454</v>
      </c>
      <c r="I19" s="1">
        <v>47</v>
      </c>
    </row>
    <row r="20" spans="1:9" x14ac:dyDescent="0.35">
      <c r="A20" s="5" t="s">
        <v>1481</v>
      </c>
      <c r="B20" s="2">
        <v>655378</v>
      </c>
      <c r="C20" s="2">
        <v>159816</v>
      </c>
      <c r="H20" s="6" t="s">
        <v>538</v>
      </c>
      <c r="I20" s="1">
        <v>48</v>
      </c>
    </row>
    <row r="21" spans="1:9" x14ac:dyDescent="0.35">
      <c r="A21" s="5" t="s">
        <v>1471</v>
      </c>
      <c r="B21" s="2">
        <v>6182639</v>
      </c>
      <c r="C21" s="2">
        <v>1610697</v>
      </c>
      <c r="H21" s="6" t="s">
        <v>452</v>
      </c>
      <c r="I21" s="1">
        <v>50</v>
      </c>
    </row>
    <row r="22" spans="1:9" x14ac:dyDescent="0.35">
      <c r="H22" s="6" t="s">
        <v>91</v>
      </c>
      <c r="I22" s="1">
        <v>52</v>
      </c>
    </row>
    <row r="23" spans="1:9" x14ac:dyDescent="0.35">
      <c r="H23" s="6" t="s">
        <v>792</v>
      </c>
      <c r="I23" s="1">
        <v>54</v>
      </c>
    </row>
    <row r="24" spans="1:9" x14ac:dyDescent="0.35">
      <c r="H24" s="6" t="s">
        <v>793</v>
      </c>
      <c r="I24" s="1">
        <v>54</v>
      </c>
    </row>
    <row r="25" spans="1:9" x14ac:dyDescent="0.35">
      <c r="H25" s="6" t="s">
        <v>476</v>
      </c>
      <c r="I25" s="1">
        <v>56</v>
      </c>
    </row>
    <row r="26" spans="1:9" x14ac:dyDescent="0.35">
      <c r="A26" s="4" t="s">
        <v>1470</v>
      </c>
      <c r="B26" s="1" t="s">
        <v>1467</v>
      </c>
      <c r="E26" s="3" t="s">
        <v>1470</v>
      </c>
      <c r="F26" s="2" t="s">
        <v>1468</v>
      </c>
      <c r="H26" s="6" t="s">
        <v>227</v>
      </c>
      <c r="I26" s="1">
        <v>57</v>
      </c>
    </row>
    <row r="27" spans="1:9" x14ac:dyDescent="0.35">
      <c r="A27" s="7" t="s">
        <v>65</v>
      </c>
      <c r="B27" s="8">
        <v>0.17191055315810122</v>
      </c>
      <c r="E27" s="6" t="s">
        <v>42</v>
      </c>
      <c r="F27" s="2">
        <v>1086436</v>
      </c>
      <c r="H27" s="6" t="s">
        <v>437</v>
      </c>
      <c r="I27" s="1">
        <v>57</v>
      </c>
    </row>
    <row r="28" spans="1:9" x14ac:dyDescent="0.35">
      <c r="A28" s="7" t="s">
        <v>47</v>
      </c>
      <c r="B28" s="8">
        <v>0.21067085131424088</v>
      </c>
      <c r="E28" s="6" t="s">
        <v>17</v>
      </c>
      <c r="F28" s="2">
        <v>1091174</v>
      </c>
      <c r="H28" s="6" t="s">
        <v>1471</v>
      </c>
      <c r="I28" s="1">
        <v>522</v>
      </c>
    </row>
    <row r="29" spans="1:9" x14ac:dyDescent="0.35">
      <c r="A29" s="7" t="s">
        <v>32</v>
      </c>
      <c r="B29" s="8">
        <v>0.21757551981169085</v>
      </c>
      <c r="E29" s="6" t="s">
        <v>21</v>
      </c>
      <c r="F29" s="2">
        <v>978738</v>
      </c>
    </row>
    <row r="30" spans="1:9" x14ac:dyDescent="0.35">
      <c r="A30" s="7" t="s">
        <v>40</v>
      </c>
      <c r="B30" s="8">
        <v>0.1860337387210671</v>
      </c>
      <c r="E30" s="6" t="s">
        <v>25</v>
      </c>
      <c r="F30" s="2">
        <v>1130048</v>
      </c>
    </row>
    <row r="31" spans="1:9" x14ac:dyDescent="0.35">
      <c r="A31" s="7" t="s">
        <v>15</v>
      </c>
      <c r="B31" s="8">
        <v>0.21380933699489996</v>
      </c>
      <c r="E31" s="6" t="s">
        <v>98</v>
      </c>
      <c r="F31" s="2">
        <v>884768</v>
      </c>
    </row>
    <row r="32" spans="1:9" x14ac:dyDescent="0.35">
      <c r="A32" s="7" t="s">
        <v>1471</v>
      </c>
      <c r="B32" s="8">
        <v>1</v>
      </c>
      <c r="E32" s="6" t="s">
        <v>71</v>
      </c>
      <c r="F32" s="2">
        <v>1011475</v>
      </c>
    </row>
    <row r="33" spans="5:6" x14ac:dyDescent="0.35">
      <c r="E33" s="6" t="s">
        <v>1471</v>
      </c>
      <c r="F33" s="2">
        <v>6182639</v>
      </c>
    </row>
    <row r="36" spans="5:6" x14ac:dyDescent="0.35">
      <c r="E36" s="6" t="s">
        <v>42</v>
      </c>
      <c r="F36" s="9">
        <f>VLOOKUP(E36,E27:F32,2,FALSE)</f>
        <v>1086436</v>
      </c>
    </row>
    <row r="37" spans="5:6" x14ac:dyDescent="0.35">
      <c r="E37" s="6" t="s">
        <v>17</v>
      </c>
      <c r="F37" s="9">
        <f t="shared" ref="F37:F41" si="0">VLOOKUP(E37,E28:F33,2,FALSE)</f>
        <v>1091174</v>
      </c>
    </row>
    <row r="38" spans="5:6" x14ac:dyDescent="0.35">
      <c r="E38" s="6" t="s">
        <v>21</v>
      </c>
      <c r="F38" s="9">
        <f t="shared" si="0"/>
        <v>978738</v>
      </c>
    </row>
    <row r="39" spans="5:6" x14ac:dyDescent="0.35">
      <c r="E39" s="6" t="s">
        <v>25</v>
      </c>
      <c r="F39" s="9">
        <f t="shared" si="0"/>
        <v>1130048</v>
      </c>
    </row>
    <row r="40" spans="5:6" x14ac:dyDescent="0.35">
      <c r="E40" s="6" t="s">
        <v>98</v>
      </c>
      <c r="F40" s="9">
        <f t="shared" si="0"/>
        <v>884768</v>
      </c>
    </row>
    <row r="41" spans="5:6" x14ac:dyDescent="0.35">
      <c r="E41" s="6" t="s">
        <v>71</v>
      </c>
      <c r="F41" s="9">
        <f t="shared" si="0"/>
        <v>1011475</v>
      </c>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AE094-52FC-4A3F-B7F6-669930F66E90}">
  <dimension ref="N14:P18"/>
  <sheetViews>
    <sheetView showGridLines="0" tabSelected="1" zoomScale="82" zoomScaleNormal="82" workbookViewId="0">
      <selection activeCell="N11" sqref="N11"/>
    </sheetView>
  </sheetViews>
  <sheetFormatPr defaultRowHeight="14.5" x14ac:dyDescent="0.35"/>
  <sheetData>
    <row r="14" spans="14:14" x14ac:dyDescent="0.35">
      <c r="N14" t="s">
        <v>1485</v>
      </c>
    </row>
    <row r="18" spans="16:16" x14ac:dyDescent="0.35">
      <c r="P18" t="s">
        <v>1486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Dataset</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Prosper Ezekiel</dc:creator>
  <cp:lastModifiedBy>Prosper Ezekiel</cp:lastModifiedBy>
  <dcterms:created xsi:type="dcterms:W3CDTF">2025-05-02T14:17:48Z</dcterms:created>
  <dcterms:modified xsi:type="dcterms:W3CDTF">2026-03-02T12:59:20Z</dcterms:modified>
</cp:coreProperties>
</file>